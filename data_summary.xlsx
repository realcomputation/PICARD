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000\OneDrive\Desktop\PICARD\"/>
    </mc:Choice>
  </mc:AlternateContent>
  <xr:revisionPtr revIDLastSave="0" documentId="13_ncr:1_{586C3564-22AA-4EA2-9619-FDDEA49BD4DB}" xr6:coauthVersionLast="47" xr6:coauthVersionMax="47" xr10:uidLastSave="{00000000-0000-0000-0000-000000000000}"/>
  <bookViews>
    <workbookView xWindow="-110" yWindow="-110" windowWidth="25820" windowHeight="15500" activeTab="2" xr2:uid="{B5C7D23E-256F-42E7-90AC-2DB2496A8129}"/>
  </bookViews>
  <sheets>
    <sheet name="A" sheetId="1" r:id="rId1"/>
    <sheet name="S" sheetId="2" r:id="rId2"/>
    <sheet name="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7" i="4" l="1"/>
  <c r="Q27" i="4"/>
  <c r="P27" i="4"/>
  <c r="O27" i="4"/>
  <c r="R17" i="4"/>
  <c r="Q17" i="4"/>
  <c r="P17" i="4"/>
  <c r="O17" i="4"/>
  <c r="L47" i="4"/>
  <c r="K47" i="4"/>
  <c r="J47" i="4"/>
  <c r="I47" i="4"/>
  <c r="L37" i="4"/>
  <c r="K37" i="4"/>
  <c r="J37" i="4"/>
  <c r="I37" i="4"/>
  <c r="L27" i="4"/>
  <c r="K27" i="4"/>
  <c r="J27" i="4"/>
  <c r="I27" i="4"/>
  <c r="L17" i="4"/>
  <c r="K17" i="4"/>
  <c r="J17" i="4"/>
  <c r="I17" i="4"/>
  <c r="C37" i="2"/>
  <c r="D37" i="2"/>
  <c r="E37" i="2"/>
  <c r="F37" i="2"/>
  <c r="F47" i="4"/>
  <c r="E47" i="4"/>
  <c r="D47" i="4"/>
  <c r="C47" i="4"/>
  <c r="F37" i="4"/>
  <c r="E37" i="4"/>
  <c r="D37" i="4"/>
  <c r="C37" i="4"/>
  <c r="F27" i="4"/>
  <c r="E27" i="4"/>
  <c r="D27" i="4"/>
  <c r="C27" i="4"/>
  <c r="F17" i="4"/>
  <c r="E17" i="4"/>
  <c r="D17" i="4"/>
  <c r="C17" i="4"/>
  <c r="F8" i="4"/>
  <c r="E8" i="4"/>
  <c r="D8" i="4"/>
  <c r="C8" i="4"/>
  <c r="F47" i="2"/>
  <c r="E47" i="2"/>
  <c r="D47" i="2"/>
  <c r="C47" i="2"/>
  <c r="F27" i="2"/>
  <c r="E27" i="2"/>
  <c r="D27" i="2"/>
  <c r="C27" i="2"/>
  <c r="F17" i="2"/>
  <c r="E17" i="2"/>
  <c r="D17" i="2"/>
  <c r="C17" i="2"/>
  <c r="F8" i="2"/>
  <c r="E8" i="2"/>
  <c r="D8" i="2"/>
  <c r="C8" i="2"/>
  <c r="F47" i="1"/>
  <c r="F48" i="1" s="1"/>
  <c r="E47" i="1"/>
  <c r="E48" i="1" s="1"/>
  <c r="D47" i="1"/>
  <c r="D48" i="1" s="1"/>
  <c r="C47" i="1"/>
  <c r="C48" i="1" s="1"/>
  <c r="F37" i="1"/>
  <c r="F38" i="1" s="1"/>
  <c r="E37" i="1"/>
  <c r="E38" i="1" s="1"/>
  <c r="D37" i="1"/>
  <c r="D38" i="1" s="1"/>
  <c r="C37" i="1"/>
  <c r="C38" i="1" s="1"/>
  <c r="F27" i="1"/>
  <c r="E27" i="1"/>
  <c r="D27" i="1"/>
  <c r="C27" i="1"/>
  <c r="D17" i="1"/>
  <c r="F17" i="1"/>
  <c r="E17" i="1"/>
  <c r="C17" i="1"/>
  <c r="E8" i="1"/>
  <c r="F8" i="1"/>
  <c r="D8" i="1"/>
  <c r="C8" i="1"/>
  <c r="P18" i="4" l="1"/>
  <c r="E38" i="4"/>
  <c r="E48" i="4"/>
  <c r="K38" i="4"/>
  <c r="E18" i="4"/>
  <c r="K48" i="4"/>
  <c r="E28" i="4"/>
  <c r="K18" i="4"/>
  <c r="Q18" i="4"/>
  <c r="K28" i="4"/>
  <c r="Q28" i="4"/>
  <c r="J38" i="4"/>
  <c r="J48" i="4"/>
  <c r="D38" i="4"/>
  <c r="J28" i="4"/>
  <c r="D18" i="4"/>
  <c r="D28" i="4"/>
  <c r="J18" i="4"/>
  <c r="P28" i="4"/>
  <c r="D48" i="4"/>
  <c r="C18" i="4"/>
  <c r="I48" i="4"/>
  <c r="C28" i="4"/>
  <c r="I18" i="4"/>
  <c r="O18" i="4"/>
  <c r="C38" i="4"/>
  <c r="I28" i="4"/>
  <c r="O28" i="4"/>
  <c r="C48" i="4"/>
  <c r="I38" i="4"/>
  <c r="R28" i="4"/>
  <c r="F48" i="4"/>
  <c r="L38" i="4"/>
  <c r="L48" i="4"/>
  <c r="F28" i="4"/>
  <c r="L18" i="4"/>
  <c r="R18" i="4"/>
  <c r="F18" i="4"/>
  <c r="F38" i="4"/>
  <c r="L28" i="4"/>
  <c r="D48" i="2"/>
  <c r="E48" i="2"/>
  <c r="F48" i="2"/>
  <c r="C28" i="2"/>
  <c r="C18" i="2"/>
  <c r="D18" i="2"/>
  <c r="E18" i="2"/>
  <c r="C38" i="2"/>
  <c r="D38" i="2"/>
  <c r="E38" i="2"/>
  <c r="F38" i="2"/>
  <c r="F28" i="2"/>
  <c r="F18" i="2"/>
  <c r="C48" i="2"/>
  <c r="D28" i="2"/>
  <c r="E28" i="2"/>
  <c r="F28" i="1"/>
  <c r="E28" i="1"/>
  <c r="D28" i="1"/>
  <c r="C28" i="1"/>
  <c r="C18" i="1"/>
  <c r="D18" i="1"/>
  <c r="E18" i="1"/>
  <c r="F18" i="1"/>
</calcChain>
</file>

<file path=xl/sharedStrings.xml><?xml version="1.0" encoding="utf-8"?>
<sst xmlns="http://schemas.openxmlformats.org/spreadsheetml/2006/main" count="250" uniqueCount="23">
  <si>
    <t>Attempt 1</t>
    <phoneticPr fontId="2" type="noConversion"/>
  </si>
  <si>
    <t>Attempt 2</t>
  </si>
  <si>
    <t>Attempt 3</t>
  </si>
  <si>
    <t>Attempt 4</t>
  </si>
  <si>
    <t>Attempt 5</t>
  </si>
  <si>
    <t>Average</t>
    <phoneticPr fontId="2" type="noConversion"/>
  </si>
  <si>
    <t>m=10</t>
    <phoneticPr fontId="2" type="noConversion"/>
  </si>
  <si>
    <t>m=20</t>
    <phoneticPr fontId="2" type="noConversion"/>
  </si>
  <si>
    <t>m=24</t>
    <phoneticPr fontId="2" type="noConversion"/>
  </si>
  <si>
    <t>m=26</t>
    <phoneticPr fontId="2" type="noConversion"/>
  </si>
  <si>
    <t>Sequential Algorithm</t>
    <phoneticPr fontId="2" type="noConversion"/>
  </si>
  <si>
    <t>Speed-Up</t>
    <phoneticPr fontId="2" type="noConversion"/>
  </si>
  <si>
    <t>Parallel Algorithm(P=2)</t>
    <phoneticPr fontId="2" type="noConversion"/>
  </si>
  <si>
    <t>Parallel Algorithm(P=4)</t>
    <phoneticPr fontId="2" type="noConversion"/>
  </si>
  <si>
    <t>Parallel Algorithm(P=8)</t>
    <phoneticPr fontId="2" type="noConversion"/>
  </si>
  <si>
    <t>Parallel Algorithm(P=16)</t>
    <phoneticPr fontId="2" type="noConversion"/>
  </si>
  <si>
    <t>6.318565.20</t>
    <phoneticPr fontId="2" type="noConversion"/>
  </si>
  <si>
    <t>Parallel Algorithm(P=32)</t>
    <phoneticPr fontId="2" type="noConversion"/>
  </si>
  <si>
    <t>Parallel Algorithm(P=64)</t>
    <phoneticPr fontId="2" type="noConversion"/>
  </si>
  <si>
    <t>Parallel Algorithm(P=128)</t>
    <phoneticPr fontId="2" type="noConversion"/>
  </si>
  <si>
    <t>Parallel Algorithm(P=256)</t>
    <phoneticPr fontId="2" type="noConversion"/>
  </si>
  <si>
    <t>Parallel Algorithm(m=512)</t>
    <phoneticPr fontId="2" type="noConversion"/>
  </si>
  <si>
    <t>Parallel Algorithm(P=1024)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</si>
</sst>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E+00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176" fontId="1" fillId="2" borderId="6" xfId="0" applyNumberFormat="1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176" fontId="1" fillId="3" borderId="6" xfId="0" applyNumberFormat="1" applyFont="1" applyFill="1" applyBorder="1" applyAlignment="1">
      <alignment horizontal="center" vertical="center"/>
    </xf>
    <xf numFmtId="176" fontId="1" fillId="3" borderId="8" xfId="0" applyNumberFormat="1" applyFont="1" applyFill="1" applyBorder="1" applyAlignment="1">
      <alignment horizontal="center" vertical="center"/>
    </xf>
    <xf numFmtId="176" fontId="1" fillId="3" borderId="9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62FE0-C56E-42FD-B710-9D45F03F2C85}">
  <dimension ref="B1:F48"/>
  <sheetViews>
    <sheetView workbookViewId="0">
      <selection activeCell="F35" sqref="F35"/>
    </sheetView>
  </sheetViews>
  <sheetFormatPr defaultColWidth="12.58203125" defaultRowHeight="17" x14ac:dyDescent="0.45"/>
  <cols>
    <col min="1" max="16384" width="12.58203125" style="1"/>
  </cols>
  <sheetData>
    <row r="1" spans="2:6" x14ac:dyDescent="0.45">
      <c r="B1" s="12" t="s">
        <v>10</v>
      </c>
      <c r="C1" s="13"/>
      <c r="D1" s="13"/>
      <c r="E1" s="13"/>
      <c r="F1" s="14"/>
    </row>
    <row r="2" spans="2:6" x14ac:dyDescent="0.45">
      <c r="B2" s="3"/>
      <c r="C2" s="2" t="s">
        <v>6</v>
      </c>
      <c r="D2" s="2" t="s">
        <v>7</v>
      </c>
      <c r="E2" s="2" t="s">
        <v>8</v>
      </c>
      <c r="F2" s="4" t="s">
        <v>9</v>
      </c>
    </row>
    <row r="3" spans="2:6" x14ac:dyDescent="0.45">
      <c r="B3" s="3" t="s">
        <v>0</v>
      </c>
      <c r="C3" s="6">
        <v>9.6659000000000003E-4</v>
      </c>
      <c r="D3" s="6">
        <v>0.70577000000000001</v>
      </c>
      <c r="E3" s="6">
        <v>13.102510000000001</v>
      </c>
      <c r="F3" s="7">
        <v>56.950389999999999</v>
      </c>
    </row>
    <row r="4" spans="2:6" x14ac:dyDescent="0.45">
      <c r="B4" s="3" t="s">
        <v>1</v>
      </c>
      <c r="C4" s="6">
        <v>9.6659000000000003E-4</v>
      </c>
      <c r="D4" s="6">
        <v>0.69040999999999997</v>
      </c>
      <c r="E4" s="6">
        <v>13.105729999999999</v>
      </c>
      <c r="F4" s="7">
        <v>56.703339999999997</v>
      </c>
    </row>
    <row r="5" spans="2:6" x14ac:dyDescent="0.45">
      <c r="B5" s="3" t="s">
        <v>2</v>
      </c>
      <c r="C5" s="6">
        <v>9.6555999999999996E-4</v>
      </c>
      <c r="D5" s="6">
        <v>0.73621000000000003</v>
      </c>
      <c r="E5" s="6">
        <v>13.091189999999999</v>
      </c>
      <c r="F5" s="7">
        <v>56.96669</v>
      </c>
    </row>
    <row r="6" spans="2:6" x14ac:dyDescent="0.45">
      <c r="B6" s="3" t="s">
        <v>3</v>
      </c>
      <c r="C6" s="6">
        <v>9.6194E-4</v>
      </c>
      <c r="D6" s="6">
        <v>0.69237000000000004</v>
      </c>
      <c r="E6" s="6">
        <v>13.12026</v>
      </c>
      <c r="F6" s="7">
        <v>56.83173</v>
      </c>
    </row>
    <row r="7" spans="2:6" x14ac:dyDescent="0.45">
      <c r="B7" s="3" t="s">
        <v>4</v>
      </c>
      <c r="C7" s="6">
        <v>9.6122999999999998E-4</v>
      </c>
      <c r="D7" s="6">
        <v>0.71709999999999996</v>
      </c>
      <c r="E7" s="6">
        <v>13.17815</v>
      </c>
      <c r="F7" s="7">
        <v>56.946919999999999</v>
      </c>
    </row>
    <row r="8" spans="2:6" ht="17.5" thickBot="1" x14ac:dyDescent="0.5">
      <c r="B8" s="5" t="s">
        <v>5</v>
      </c>
      <c r="C8" s="10">
        <f>AVERAGE(C3:C7)</f>
        <v>9.6438200000000006E-4</v>
      </c>
      <c r="D8" s="10">
        <f>AVERAGE(D3:D7)</f>
        <v>0.708372</v>
      </c>
      <c r="E8" s="10">
        <f t="shared" ref="E8:F8" si="0">AVERAGE(E3:E7)</f>
        <v>13.119568000000001</v>
      </c>
      <c r="F8" s="11">
        <f t="shared" si="0"/>
        <v>56.879813999999996</v>
      </c>
    </row>
    <row r="9" spans="2:6" ht="17.5" thickBot="1" x14ac:dyDescent="0.5"/>
    <row r="10" spans="2:6" x14ac:dyDescent="0.45">
      <c r="B10" s="12" t="s">
        <v>12</v>
      </c>
      <c r="C10" s="13"/>
      <c r="D10" s="13"/>
      <c r="E10" s="13"/>
      <c r="F10" s="14"/>
    </row>
    <row r="11" spans="2:6" x14ac:dyDescent="0.45">
      <c r="B11" s="3"/>
      <c r="C11" s="2" t="s">
        <v>6</v>
      </c>
      <c r="D11" s="2" t="s">
        <v>7</v>
      </c>
      <c r="E11" s="2" t="s">
        <v>8</v>
      </c>
      <c r="F11" s="4" t="s">
        <v>9</v>
      </c>
    </row>
    <row r="12" spans="2:6" x14ac:dyDescent="0.45">
      <c r="B12" s="3" t="s">
        <v>0</v>
      </c>
      <c r="C12" s="6">
        <v>1.9501E-3</v>
      </c>
      <c r="D12" s="6">
        <v>0.60904999999999998</v>
      </c>
      <c r="E12" s="6">
        <v>7.5895999999999999</v>
      </c>
      <c r="F12" s="7">
        <v>30.8567</v>
      </c>
    </row>
    <row r="13" spans="2:6" x14ac:dyDescent="0.45">
      <c r="B13" s="3" t="s">
        <v>1</v>
      </c>
      <c r="C13" s="6">
        <v>1.9377999999999999E-3</v>
      </c>
      <c r="D13" s="6">
        <v>0.64809000000000005</v>
      </c>
      <c r="E13" s="6">
        <v>7.4824000000000002</v>
      </c>
      <c r="F13" s="7">
        <v>30.79908</v>
      </c>
    </row>
    <row r="14" spans="2:6" x14ac:dyDescent="0.45">
      <c r="B14" s="3" t="s">
        <v>2</v>
      </c>
      <c r="C14" s="6">
        <v>1.7374000000000001E-3</v>
      </c>
      <c r="D14" s="6">
        <v>0.56074999999999997</v>
      </c>
      <c r="E14" s="6">
        <v>7.7173999999999996</v>
      </c>
      <c r="F14" s="7">
        <v>30.69473</v>
      </c>
    </row>
    <row r="15" spans="2:6" x14ac:dyDescent="0.45">
      <c r="B15" s="3" t="s">
        <v>3</v>
      </c>
      <c r="C15" s="6">
        <v>1.8427000000000001E-3</v>
      </c>
      <c r="D15" s="6">
        <v>0.53366000000000002</v>
      </c>
      <c r="E15" s="6">
        <v>7.7415000000000003</v>
      </c>
      <c r="F15" s="7">
        <v>30.77318</v>
      </c>
    </row>
    <row r="16" spans="2:6" x14ac:dyDescent="0.45">
      <c r="B16" s="3" t="s">
        <v>4</v>
      </c>
      <c r="C16" s="6">
        <v>1.9349E-3</v>
      </c>
      <c r="D16" s="6">
        <v>0.54298999999999997</v>
      </c>
      <c r="E16" s="6">
        <v>7.4832999999999998</v>
      </c>
      <c r="F16" s="7">
        <v>31.201070000000001</v>
      </c>
    </row>
    <row r="17" spans="2:6" x14ac:dyDescent="0.45">
      <c r="B17" s="3" t="s">
        <v>5</v>
      </c>
      <c r="C17" s="8">
        <f>AVERAGE(C12:C16)</f>
        <v>1.8805800000000002E-3</v>
      </c>
      <c r="D17" s="8">
        <f>AVERAGE(D12:D16)</f>
        <v>0.57890800000000009</v>
      </c>
      <c r="E17" s="8">
        <f t="shared" ref="E17" si="1">AVERAGE(E12:E16)</f>
        <v>7.6028400000000005</v>
      </c>
      <c r="F17" s="9">
        <f t="shared" ref="F17" si="2">AVERAGE(F12:F16)</f>
        <v>30.864951999999999</v>
      </c>
    </row>
    <row r="18" spans="2:6" ht="17.5" thickBot="1" x14ac:dyDescent="0.5">
      <c r="B18" s="5" t="s">
        <v>11</v>
      </c>
      <c r="C18" s="10">
        <f>C8/C17</f>
        <v>0.51281094130534199</v>
      </c>
      <c r="D18" s="10">
        <f t="shared" ref="D18:F18" si="3">D8/D17</f>
        <v>1.2236348435329965</v>
      </c>
      <c r="E18" s="10">
        <f t="shared" si="3"/>
        <v>1.7256141126210731</v>
      </c>
      <c r="F18" s="11">
        <f t="shared" si="3"/>
        <v>1.8428609252332548</v>
      </c>
    </row>
    <row r="19" spans="2:6" ht="17.5" thickBot="1" x14ac:dyDescent="0.5"/>
    <row r="20" spans="2:6" x14ac:dyDescent="0.45">
      <c r="B20" s="12" t="s">
        <v>13</v>
      </c>
      <c r="C20" s="13"/>
      <c r="D20" s="13"/>
      <c r="E20" s="13"/>
      <c r="F20" s="14"/>
    </row>
    <row r="21" spans="2:6" x14ac:dyDescent="0.45">
      <c r="B21" s="3"/>
      <c r="C21" s="2" t="s">
        <v>6</v>
      </c>
      <c r="D21" s="2" t="s">
        <v>7</v>
      </c>
      <c r="E21" s="2" t="s">
        <v>8</v>
      </c>
      <c r="F21" s="4" t="s">
        <v>9</v>
      </c>
    </row>
    <row r="22" spans="2:6" x14ac:dyDescent="0.45">
      <c r="B22" s="3" t="s">
        <v>0</v>
      </c>
      <c r="C22" s="6">
        <v>2.6714999999999998E-3</v>
      </c>
      <c r="D22" s="6">
        <v>0.30526999999999999</v>
      </c>
      <c r="E22" s="6">
        <v>3.9924200000000001</v>
      </c>
      <c r="F22" s="7">
        <v>16.100709999999999</v>
      </c>
    </row>
    <row r="23" spans="2:6" x14ac:dyDescent="0.45">
      <c r="B23" s="3" t="s">
        <v>1</v>
      </c>
      <c r="C23" s="6">
        <v>2.6744E-3</v>
      </c>
      <c r="D23" s="6">
        <v>0.29570999999999997</v>
      </c>
      <c r="E23" s="6">
        <v>4.02067</v>
      </c>
      <c r="F23" s="7">
        <v>16.07884</v>
      </c>
    </row>
    <row r="24" spans="2:6" x14ac:dyDescent="0.45">
      <c r="B24" s="3" t="s">
        <v>2</v>
      </c>
      <c r="C24" s="6">
        <v>2.5400000000000002E-3</v>
      </c>
      <c r="D24" s="6">
        <v>0.33077000000000001</v>
      </c>
      <c r="E24" s="6">
        <v>4.0175299999999998</v>
      </c>
      <c r="F24" s="7">
        <v>15.93948</v>
      </c>
    </row>
    <row r="25" spans="2:6" x14ac:dyDescent="0.45">
      <c r="B25" s="3" t="s">
        <v>3</v>
      </c>
      <c r="C25" s="6">
        <v>2.5146999999999999E-3</v>
      </c>
      <c r="D25" s="6">
        <v>0.29503000000000001</v>
      </c>
      <c r="E25" s="6">
        <v>4.1624499999999998</v>
      </c>
      <c r="F25" s="7">
        <v>15.767049999999999</v>
      </c>
    </row>
    <row r="26" spans="2:6" x14ac:dyDescent="0.45">
      <c r="B26" s="3" t="s">
        <v>4</v>
      </c>
      <c r="C26" s="6">
        <v>2.7253999999999998E-3</v>
      </c>
      <c r="D26" s="6">
        <v>0.26565</v>
      </c>
      <c r="E26" s="6">
        <v>4.0775199999999998</v>
      </c>
      <c r="F26" s="7">
        <v>16.01774</v>
      </c>
    </row>
    <row r="27" spans="2:6" x14ac:dyDescent="0.45">
      <c r="B27" s="3" t="s">
        <v>5</v>
      </c>
      <c r="C27" s="8">
        <f>AVERAGE(C22:C26)</f>
        <v>2.6251999999999998E-3</v>
      </c>
      <c r="D27" s="8">
        <f>AVERAGE(D22:D26)</f>
        <v>0.29848599999999997</v>
      </c>
      <c r="E27" s="8">
        <f t="shared" ref="E27" si="4">AVERAGE(E22:E26)</f>
        <v>4.0541179999999999</v>
      </c>
      <c r="F27" s="9">
        <f t="shared" ref="F27" si="5">AVERAGE(F22:F26)</f>
        <v>15.980763999999999</v>
      </c>
    </row>
    <row r="28" spans="2:6" ht="17.5" thickBot="1" x14ac:dyDescent="0.5">
      <c r="B28" s="5" t="s">
        <v>11</v>
      </c>
      <c r="C28" s="10">
        <f>C8/C27</f>
        <v>0.36735563004723454</v>
      </c>
      <c r="D28" s="10">
        <f t="shared" ref="D28:F28" si="6">D8/D27</f>
        <v>2.3732168342903859</v>
      </c>
      <c r="E28" s="10">
        <f t="shared" si="6"/>
        <v>3.2361090624397222</v>
      </c>
      <c r="F28" s="11">
        <f t="shared" si="6"/>
        <v>3.5592675043571131</v>
      </c>
    </row>
    <row r="29" spans="2:6" ht="17.5" thickBot="1" x14ac:dyDescent="0.5"/>
    <row r="30" spans="2:6" x14ac:dyDescent="0.45">
      <c r="B30" s="12" t="s">
        <v>14</v>
      </c>
      <c r="C30" s="13"/>
      <c r="D30" s="13"/>
      <c r="E30" s="13"/>
      <c r="F30" s="14"/>
    </row>
    <row r="31" spans="2:6" x14ac:dyDescent="0.45">
      <c r="B31" s="3"/>
      <c r="C31" s="2" t="s">
        <v>6</v>
      </c>
      <c r="D31" s="2" t="s">
        <v>7</v>
      </c>
      <c r="E31" s="2" t="s">
        <v>8</v>
      </c>
      <c r="F31" s="4" t="s">
        <v>9</v>
      </c>
    </row>
    <row r="32" spans="2:6" x14ac:dyDescent="0.45">
      <c r="B32" s="3" t="s">
        <v>0</v>
      </c>
      <c r="C32" s="6">
        <v>5.9045E-3</v>
      </c>
      <c r="D32" s="6">
        <v>0.16381000000000001</v>
      </c>
      <c r="E32" s="6">
        <v>2.3251599999999999</v>
      </c>
      <c r="F32" s="7">
        <v>9.6600199999999994</v>
      </c>
    </row>
    <row r="33" spans="2:6" x14ac:dyDescent="0.45">
      <c r="B33" s="3" t="s">
        <v>1</v>
      </c>
      <c r="C33" s="6">
        <v>6.2341999999999996E-3</v>
      </c>
      <c r="D33" s="6">
        <v>0.15869</v>
      </c>
      <c r="E33" s="6">
        <v>2.3799199999999998</v>
      </c>
      <c r="F33" s="7">
        <v>9.7669200000000007</v>
      </c>
    </row>
    <row r="34" spans="2:6" x14ac:dyDescent="0.45">
      <c r="B34" s="3" t="s">
        <v>2</v>
      </c>
      <c r="C34" s="6">
        <v>6.0875E-3</v>
      </c>
      <c r="D34" s="6">
        <v>0.14222000000000001</v>
      </c>
      <c r="E34" s="6">
        <v>2.3672800000000001</v>
      </c>
      <c r="F34" s="7">
        <v>9.8921899999999994</v>
      </c>
    </row>
    <row r="35" spans="2:6" x14ac:dyDescent="0.45">
      <c r="B35" s="3" t="s">
        <v>3</v>
      </c>
      <c r="C35" s="6">
        <v>5.5833000000000002E-3</v>
      </c>
      <c r="D35" s="6">
        <v>0.15683</v>
      </c>
      <c r="E35" s="6">
        <v>2.3851599999999999</v>
      </c>
      <c r="F35" s="7">
        <v>9.8104099999999992</v>
      </c>
    </row>
    <row r="36" spans="2:6" x14ac:dyDescent="0.45">
      <c r="B36" s="3" t="s">
        <v>4</v>
      </c>
      <c r="C36" s="6">
        <v>6.0594999999999998E-3</v>
      </c>
      <c r="D36" s="6">
        <v>0.16771</v>
      </c>
      <c r="E36" s="6">
        <v>2.33508</v>
      </c>
      <c r="F36" s="7">
        <v>9.7602200000000003</v>
      </c>
    </row>
    <row r="37" spans="2:6" x14ac:dyDescent="0.45">
      <c r="B37" s="3" t="s">
        <v>5</v>
      </c>
      <c r="C37" s="8">
        <f>AVERAGE(C32:C36)</f>
        <v>5.9737999999999996E-3</v>
      </c>
      <c r="D37" s="8">
        <f>AVERAGE(D32:D36)</f>
        <v>0.15785200000000002</v>
      </c>
      <c r="E37" s="8">
        <f t="shared" ref="E37" si="7">AVERAGE(E32:E36)</f>
        <v>2.3585199999999995</v>
      </c>
      <c r="F37" s="9">
        <f t="shared" ref="F37" si="8">AVERAGE(F32:F36)</f>
        <v>9.7779519999999991</v>
      </c>
    </row>
    <row r="38" spans="2:6" ht="17.5" thickBot="1" x14ac:dyDescent="0.5">
      <c r="B38" s="5" t="s">
        <v>11</v>
      </c>
      <c r="C38" s="10">
        <f>C8/C37</f>
        <v>0.16143526733402527</v>
      </c>
      <c r="D38" s="10">
        <f t="shared" ref="D38:F38" si="9">D8/D37</f>
        <v>4.4875706357854188</v>
      </c>
      <c r="E38" s="10">
        <f t="shared" si="9"/>
        <v>5.5626274104099194</v>
      </c>
      <c r="F38" s="10">
        <f t="shared" si="9"/>
        <v>5.8171500535081373</v>
      </c>
    </row>
    <row r="39" spans="2:6" ht="17.5" thickBot="1" x14ac:dyDescent="0.5"/>
    <row r="40" spans="2:6" x14ac:dyDescent="0.45">
      <c r="B40" s="12" t="s">
        <v>15</v>
      </c>
      <c r="C40" s="13"/>
      <c r="D40" s="13"/>
      <c r="E40" s="13"/>
      <c r="F40" s="14"/>
    </row>
    <row r="41" spans="2:6" x14ac:dyDescent="0.45">
      <c r="B41" s="3"/>
      <c r="C41" s="2" t="s">
        <v>6</v>
      </c>
      <c r="D41" s="2" t="s">
        <v>7</v>
      </c>
      <c r="E41" s="2" t="s">
        <v>8</v>
      </c>
      <c r="F41" s="4" t="s">
        <v>9</v>
      </c>
    </row>
    <row r="42" spans="2:6" x14ac:dyDescent="0.45">
      <c r="B42" s="3" t="s">
        <v>0</v>
      </c>
      <c r="C42" s="6">
        <v>1.16778E-2</v>
      </c>
      <c r="D42" s="6">
        <v>0.117074</v>
      </c>
      <c r="E42" s="6">
        <v>2.1704500000000002</v>
      </c>
      <c r="F42" s="7">
        <v>9.2213700000000003</v>
      </c>
    </row>
    <row r="43" spans="2:6" x14ac:dyDescent="0.45">
      <c r="B43" s="3" t="s">
        <v>1</v>
      </c>
      <c r="C43" s="6">
        <v>1.1254800000000001E-2</v>
      </c>
      <c r="D43" s="6">
        <v>0.119533</v>
      </c>
      <c r="E43" s="6">
        <v>2.1767799999999999</v>
      </c>
      <c r="F43" s="7">
        <v>9.2340199999999992</v>
      </c>
    </row>
    <row r="44" spans="2:6" x14ac:dyDescent="0.45">
      <c r="B44" s="3" t="s">
        <v>2</v>
      </c>
      <c r="C44" s="6">
        <v>1.00722E-2</v>
      </c>
      <c r="D44" s="6">
        <v>0.120475</v>
      </c>
      <c r="E44" s="6">
        <v>2.16289</v>
      </c>
      <c r="F44" s="7">
        <v>9.2103099999999998</v>
      </c>
    </row>
    <row r="45" spans="2:6" x14ac:dyDescent="0.45">
      <c r="B45" s="3" t="s">
        <v>3</v>
      </c>
      <c r="C45" s="6">
        <v>1.04666E-2</v>
      </c>
      <c r="D45" s="6">
        <v>0.117147</v>
      </c>
      <c r="E45" s="6">
        <v>2.1731600000000002</v>
      </c>
      <c r="F45" s="7">
        <v>9.2228200000000005</v>
      </c>
    </row>
    <row r="46" spans="2:6" x14ac:dyDescent="0.45">
      <c r="B46" s="3" t="s">
        <v>4</v>
      </c>
      <c r="C46" s="6">
        <v>9.5811100000000003E-3</v>
      </c>
      <c r="D46" s="6">
        <v>0.118628</v>
      </c>
      <c r="E46" s="6">
        <v>2.1623899999999998</v>
      </c>
      <c r="F46" s="7">
        <v>9.2079599999999999</v>
      </c>
    </row>
    <row r="47" spans="2:6" x14ac:dyDescent="0.45">
      <c r="B47" s="3" t="s">
        <v>5</v>
      </c>
      <c r="C47" s="8">
        <f>AVERAGE(C42:C46)</f>
        <v>1.0610501999999999E-2</v>
      </c>
      <c r="D47" s="8">
        <f>AVERAGE(D42:D46)</f>
        <v>0.11857139999999999</v>
      </c>
      <c r="E47" s="8">
        <f t="shared" ref="E47" si="10">AVERAGE(E42:E46)</f>
        <v>2.1691340000000001</v>
      </c>
      <c r="F47" s="9">
        <f t="shared" ref="F47" si="11">AVERAGE(F42:F46)</f>
        <v>9.2192959999999999</v>
      </c>
    </row>
    <row r="48" spans="2:6" ht="17.5" thickBot="1" x14ac:dyDescent="0.5">
      <c r="B48" s="5" t="s">
        <v>11</v>
      </c>
      <c r="C48" s="10">
        <f>C8/C47</f>
        <v>9.0889384875475279E-2</v>
      </c>
      <c r="D48" s="10">
        <f t="shared" ref="D48:F48" si="12">D8/D47</f>
        <v>5.9742231263188259</v>
      </c>
      <c r="E48" s="10">
        <f t="shared" si="12"/>
        <v>6.0482976155461117</v>
      </c>
      <c r="F48" s="10">
        <f t="shared" si="12"/>
        <v>6.1696483115413585</v>
      </c>
    </row>
  </sheetData>
  <mergeCells count="5">
    <mergeCell ref="B1:F1"/>
    <mergeCell ref="B10:F10"/>
    <mergeCell ref="B20:F20"/>
    <mergeCell ref="B30:F30"/>
    <mergeCell ref="B40:F40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DB630-4DAD-4768-95FB-D028BC6BF2F1}">
  <dimension ref="B1:F48"/>
  <sheetViews>
    <sheetView topLeftCell="B21" workbookViewId="0">
      <selection activeCell="F53" sqref="F53"/>
    </sheetView>
  </sheetViews>
  <sheetFormatPr defaultColWidth="12.58203125" defaultRowHeight="17" x14ac:dyDescent="0.45"/>
  <cols>
    <col min="1" max="16384" width="12.58203125" style="1"/>
  </cols>
  <sheetData>
    <row r="1" spans="2:6" x14ac:dyDescent="0.45">
      <c r="B1" s="12" t="s">
        <v>10</v>
      </c>
      <c r="C1" s="13"/>
      <c r="D1" s="13"/>
      <c r="E1" s="13"/>
      <c r="F1" s="14"/>
    </row>
    <row r="2" spans="2:6" x14ac:dyDescent="0.45">
      <c r="B2" s="3"/>
      <c r="C2" s="2" t="s">
        <v>6</v>
      </c>
      <c r="D2" s="2" t="s">
        <v>7</v>
      </c>
      <c r="E2" s="2" t="s">
        <v>8</v>
      </c>
      <c r="F2" s="4" t="s">
        <v>9</v>
      </c>
    </row>
    <row r="3" spans="2:6" x14ac:dyDescent="0.45">
      <c r="B3" s="3" t="s">
        <v>0</v>
      </c>
      <c r="C3" s="6">
        <v>1.3650000000000001E-4</v>
      </c>
      <c r="D3" s="6">
        <v>0.26196700000000001</v>
      </c>
      <c r="E3" s="6">
        <v>5.2669300000000003</v>
      </c>
      <c r="F3" s="7">
        <v>24.8688</v>
      </c>
    </row>
    <row r="4" spans="2:6" x14ac:dyDescent="0.45">
      <c r="B4" s="3" t="s">
        <v>1</v>
      </c>
      <c r="C4" s="6">
        <v>1.403E-4</v>
      </c>
      <c r="D4" s="6">
        <v>0.26405600000000001</v>
      </c>
      <c r="E4" s="6">
        <v>5.1445699999999999</v>
      </c>
      <c r="F4" s="7">
        <v>25.87819</v>
      </c>
    </row>
    <row r="5" spans="2:6" x14ac:dyDescent="0.45">
      <c r="B5" s="3" t="s">
        <v>2</v>
      </c>
      <c r="C5" s="6">
        <v>1.4489900000000001E-4</v>
      </c>
      <c r="D5" s="6">
        <v>0.25759300000000002</v>
      </c>
      <c r="E5" s="6">
        <v>5.0831400000000002</v>
      </c>
      <c r="F5" s="7">
        <v>25.28978</v>
      </c>
    </row>
    <row r="6" spans="2:6" x14ac:dyDescent="0.45">
      <c r="B6" s="3" t="s">
        <v>3</v>
      </c>
      <c r="C6" s="6">
        <v>1.292E-4</v>
      </c>
      <c r="D6" s="6">
        <v>0.281717</v>
      </c>
      <c r="E6" s="6">
        <v>5.0545499999999999</v>
      </c>
      <c r="F6" s="7">
        <v>23.872779999999999</v>
      </c>
    </row>
    <row r="7" spans="2:6" x14ac:dyDescent="0.45">
      <c r="B7" s="3" t="s">
        <v>4</v>
      </c>
      <c r="C7" s="6">
        <v>1.3090000000000001E-4</v>
      </c>
      <c r="D7" s="6">
        <v>0.26772099999999999</v>
      </c>
      <c r="E7" s="6">
        <v>5.1086400000000003</v>
      </c>
      <c r="F7" s="7">
        <v>22.434180000000001</v>
      </c>
    </row>
    <row r="8" spans="2:6" ht="17.5" thickBot="1" x14ac:dyDescent="0.5">
      <c r="B8" s="5" t="s">
        <v>5</v>
      </c>
      <c r="C8" s="10">
        <f>AVERAGE(C3:C7)</f>
        <v>1.3635979999999999E-4</v>
      </c>
      <c r="D8" s="10">
        <f>AVERAGE(D3:D7)</f>
        <v>0.26661080000000004</v>
      </c>
      <c r="E8" s="10">
        <f t="shared" ref="E8:F8" si="0">AVERAGE(E3:E7)</f>
        <v>5.1315660000000003</v>
      </c>
      <c r="F8" s="11">
        <f t="shared" si="0"/>
        <v>24.468745999999999</v>
      </c>
    </row>
    <row r="9" spans="2:6" ht="17.5" thickBot="1" x14ac:dyDescent="0.5"/>
    <row r="10" spans="2:6" x14ac:dyDescent="0.45">
      <c r="B10" s="12" t="s">
        <v>12</v>
      </c>
      <c r="C10" s="13"/>
      <c r="D10" s="13"/>
      <c r="E10" s="13"/>
      <c r="F10" s="14"/>
    </row>
    <row r="11" spans="2:6" ht="16.5" customHeight="1" x14ac:dyDescent="0.45">
      <c r="B11" s="3"/>
      <c r="C11" s="2" t="s">
        <v>6</v>
      </c>
      <c r="D11" s="2" t="s">
        <v>7</v>
      </c>
      <c r="E11" s="2" t="s">
        <v>8</v>
      </c>
      <c r="F11" s="4" t="s">
        <v>9</v>
      </c>
    </row>
    <row r="12" spans="2:6" x14ac:dyDescent="0.45">
      <c r="B12" s="3" t="s">
        <v>0</v>
      </c>
      <c r="C12" s="6">
        <v>4.5256999999999997E-3</v>
      </c>
      <c r="D12" s="6">
        <v>0.17808099999999999</v>
      </c>
      <c r="E12" s="6">
        <v>3.523908</v>
      </c>
      <c r="F12" s="7">
        <v>15.36364</v>
      </c>
    </row>
    <row r="13" spans="2:6" x14ac:dyDescent="0.45">
      <c r="B13" s="3" t="s">
        <v>1</v>
      </c>
      <c r="C13" s="6">
        <v>2.2326899999999998E-3</v>
      </c>
      <c r="D13" s="6">
        <v>0.164607</v>
      </c>
      <c r="E13" s="6">
        <v>3.4334380000000002</v>
      </c>
      <c r="F13" s="7">
        <v>15.17895</v>
      </c>
    </row>
    <row r="14" spans="2:6" x14ac:dyDescent="0.45">
      <c r="B14" s="3" t="s">
        <v>2</v>
      </c>
      <c r="C14" s="6">
        <v>3.1232899999999999E-3</v>
      </c>
      <c r="D14" s="6">
        <v>0.171406</v>
      </c>
      <c r="E14" s="6">
        <v>3.5055339999999999</v>
      </c>
      <c r="F14" s="7">
        <v>15.373889999999999</v>
      </c>
    </row>
    <row r="15" spans="2:6" x14ac:dyDescent="0.45">
      <c r="B15" s="3" t="s">
        <v>3</v>
      </c>
      <c r="C15" s="6">
        <v>2.2233999999999999E-3</v>
      </c>
      <c r="D15" s="6">
        <v>0.17737900000000001</v>
      </c>
      <c r="E15" s="6">
        <v>3.5158740000000002</v>
      </c>
      <c r="F15" s="7">
        <v>15.397740000000001</v>
      </c>
    </row>
    <row r="16" spans="2:6" x14ac:dyDescent="0.45">
      <c r="B16" s="3" t="s">
        <v>4</v>
      </c>
      <c r="C16" s="6">
        <v>2.1657E-3</v>
      </c>
      <c r="D16" s="6">
        <v>0.177588</v>
      </c>
      <c r="E16" s="6">
        <v>3.378012</v>
      </c>
      <c r="F16" s="7">
        <v>16.066030000000001</v>
      </c>
    </row>
    <row r="17" spans="2:6" x14ac:dyDescent="0.45">
      <c r="B17" s="3" t="s">
        <v>5</v>
      </c>
      <c r="C17" s="8">
        <f>AVERAGE(C12:C16)</f>
        <v>2.8541560000000001E-3</v>
      </c>
      <c r="D17" s="8">
        <f>AVERAGE(D12:D16)</f>
        <v>0.1738122</v>
      </c>
      <c r="E17" s="8">
        <f t="shared" ref="E17:F17" si="1">AVERAGE(E12:E16)</f>
        <v>3.4713532000000002</v>
      </c>
      <c r="F17" s="9">
        <f t="shared" si="1"/>
        <v>15.476050000000001</v>
      </c>
    </row>
    <row r="18" spans="2:6" ht="17.5" thickBot="1" x14ac:dyDescent="0.5">
      <c r="B18" s="5" t="s">
        <v>11</v>
      </c>
      <c r="C18" s="10">
        <f>C8/C17</f>
        <v>4.7775874899620055E-2</v>
      </c>
      <c r="D18" s="10">
        <f t="shared" ref="D18:F18" si="2">D8/D17</f>
        <v>1.5339015328037966</v>
      </c>
      <c r="E18" s="10">
        <f t="shared" si="2"/>
        <v>1.4782609847940567</v>
      </c>
      <c r="F18" s="11">
        <f t="shared" si="2"/>
        <v>1.5810717851131264</v>
      </c>
    </row>
    <row r="19" spans="2:6" ht="17.5" thickBot="1" x14ac:dyDescent="0.5"/>
    <row r="20" spans="2:6" x14ac:dyDescent="0.45">
      <c r="B20" s="12" t="s">
        <v>13</v>
      </c>
      <c r="C20" s="13"/>
      <c r="D20" s="13"/>
      <c r="E20" s="13"/>
      <c r="F20" s="14"/>
    </row>
    <row r="21" spans="2:6" x14ac:dyDescent="0.45">
      <c r="B21" s="3"/>
      <c r="C21" s="2" t="s">
        <v>6</v>
      </c>
      <c r="D21" s="2" t="s">
        <v>7</v>
      </c>
      <c r="E21" s="2" t="s">
        <v>8</v>
      </c>
      <c r="F21" s="4" t="s">
        <v>9</v>
      </c>
    </row>
    <row r="22" spans="2:6" x14ac:dyDescent="0.45">
      <c r="B22" s="3" t="s">
        <v>0</v>
      </c>
      <c r="C22" s="6">
        <v>3.3812899999999999E-3</v>
      </c>
      <c r="D22" s="6">
        <v>0.10234500000000001</v>
      </c>
      <c r="E22" s="6">
        <v>1.9617070000000001</v>
      </c>
      <c r="F22" s="7">
        <v>8.5852699999999995</v>
      </c>
    </row>
    <row r="23" spans="2:6" x14ac:dyDescent="0.45">
      <c r="B23" s="3" t="s">
        <v>1</v>
      </c>
      <c r="C23" s="6">
        <v>3.4087000000000002E-3</v>
      </c>
      <c r="D23" s="6">
        <v>0.1229</v>
      </c>
      <c r="E23" s="6">
        <v>1.92222</v>
      </c>
      <c r="F23" s="7">
        <v>8.6957000000000004</v>
      </c>
    </row>
    <row r="24" spans="2:6" x14ac:dyDescent="0.45">
      <c r="B24" s="3" t="s">
        <v>2</v>
      </c>
      <c r="C24" s="6">
        <v>4.0417999999999999E-3</v>
      </c>
      <c r="D24" s="6">
        <v>0.105046</v>
      </c>
      <c r="E24" s="6">
        <v>1.93971</v>
      </c>
      <c r="F24" s="7">
        <v>8.6508000000000003</v>
      </c>
    </row>
    <row r="25" spans="2:6" x14ac:dyDescent="0.45">
      <c r="B25" s="3" t="s">
        <v>3</v>
      </c>
      <c r="C25" s="6">
        <v>3.7390000000000001E-3</v>
      </c>
      <c r="D25" s="6">
        <v>0.107333</v>
      </c>
      <c r="E25" s="6">
        <v>2.0798100000000002</v>
      </c>
      <c r="F25" s="7">
        <v>8.4414700000000007</v>
      </c>
    </row>
    <row r="26" spans="2:6" x14ac:dyDescent="0.45">
      <c r="B26" s="3" t="s">
        <v>4</v>
      </c>
      <c r="C26" s="6">
        <v>4.1821000000000002E-3</v>
      </c>
      <c r="D26" s="6">
        <v>9.7835000000000005E-2</v>
      </c>
      <c r="E26" s="6">
        <v>1.8933599999999999</v>
      </c>
      <c r="F26" s="7">
        <v>8.8433100000000007</v>
      </c>
    </row>
    <row r="27" spans="2:6" x14ac:dyDescent="0.45">
      <c r="B27" s="3" t="s">
        <v>5</v>
      </c>
      <c r="C27" s="8">
        <f>AVERAGE(C22:C26)</f>
        <v>3.7505780000000001E-3</v>
      </c>
      <c r="D27" s="8">
        <f>AVERAGE(D22:D26)</f>
        <v>0.1070918</v>
      </c>
      <c r="E27" s="8">
        <f t="shared" ref="E27:F27" si="3">AVERAGE(E22:E26)</f>
        <v>1.9593613999999999</v>
      </c>
      <c r="F27" s="9">
        <f t="shared" si="3"/>
        <v>8.6433100000000014</v>
      </c>
    </row>
    <row r="28" spans="2:6" ht="17.5" thickBot="1" x14ac:dyDescent="0.5">
      <c r="B28" s="5" t="s">
        <v>11</v>
      </c>
      <c r="C28" s="10">
        <f>C8/C27</f>
        <v>3.63570095062681E-2</v>
      </c>
      <c r="D28" s="10">
        <f t="shared" ref="D28:F28" si="4">D8/D27</f>
        <v>2.4895538220480002</v>
      </c>
      <c r="E28" s="10">
        <f t="shared" si="4"/>
        <v>2.6189992310760029</v>
      </c>
      <c r="F28" s="11">
        <f t="shared" si="4"/>
        <v>2.8309462462875907</v>
      </c>
    </row>
    <row r="29" spans="2:6" ht="17.5" thickBot="1" x14ac:dyDescent="0.5"/>
    <row r="30" spans="2:6" x14ac:dyDescent="0.45">
      <c r="B30" s="12" t="s">
        <v>14</v>
      </c>
      <c r="C30" s="13"/>
      <c r="D30" s="13"/>
      <c r="E30" s="13"/>
      <c r="F30" s="14"/>
    </row>
    <row r="31" spans="2:6" x14ac:dyDescent="0.45">
      <c r="B31" s="3"/>
      <c r="C31" s="2" t="s">
        <v>6</v>
      </c>
      <c r="D31" s="2" t="s">
        <v>7</v>
      </c>
      <c r="E31" s="2" t="s">
        <v>8</v>
      </c>
      <c r="F31" s="4" t="s">
        <v>9</v>
      </c>
    </row>
    <row r="32" spans="2:6" x14ac:dyDescent="0.45">
      <c r="B32" s="3" t="s">
        <v>0</v>
      </c>
      <c r="C32" s="6">
        <v>6.5159900000000001E-3</v>
      </c>
      <c r="D32" s="6">
        <v>8.7779300000000005E-2</v>
      </c>
      <c r="E32" s="6">
        <v>1.4278599999999999</v>
      </c>
      <c r="F32" s="7">
        <v>6.7670700000000004</v>
      </c>
    </row>
    <row r="33" spans="2:6" x14ac:dyDescent="0.45">
      <c r="B33" s="3" t="s">
        <v>1</v>
      </c>
      <c r="C33" s="6">
        <v>6.4203999999999997E-3</v>
      </c>
      <c r="D33" s="6">
        <v>9.9384200000000006E-2</v>
      </c>
      <c r="E33" s="6">
        <v>1.4623600000000001</v>
      </c>
      <c r="F33" s="7">
        <v>6.5571299999999999</v>
      </c>
    </row>
    <row r="34" spans="2:6" x14ac:dyDescent="0.45">
      <c r="B34" s="3" t="s">
        <v>2</v>
      </c>
      <c r="C34" s="6">
        <v>6.4260000000000003E-3</v>
      </c>
      <c r="D34" s="6">
        <v>8.2530000000000006E-2</v>
      </c>
      <c r="E34" s="6">
        <v>1.43451</v>
      </c>
      <c r="F34" s="7">
        <v>7.1863299999999999</v>
      </c>
    </row>
    <row r="35" spans="2:6" x14ac:dyDescent="0.45">
      <c r="B35" s="3" t="s">
        <v>3</v>
      </c>
      <c r="C35" s="6">
        <v>7.4694999999999996E-3</v>
      </c>
      <c r="D35" s="6">
        <v>8.4141999999999995E-2</v>
      </c>
      <c r="E35" s="6">
        <v>1.45143</v>
      </c>
      <c r="F35" s="7">
        <v>6.5476000000000001</v>
      </c>
    </row>
    <row r="36" spans="2:6" x14ac:dyDescent="0.45">
      <c r="B36" s="3" t="s">
        <v>4</v>
      </c>
      <c r="C36" s="6">
        <v>7.2987900000000003E-3</v>
      </c>
      <c r="D36" s="6">
        <v>8.7279099999999998E-2</v>
      </c>
      <c r="E36" s="6">
        <v>1.4285099999999999</v>
      </c>
      <c r="F36" s="7" t="s">
        <v>16</v>
      </c>
    </row>
    <row r="37" spans="2:6" x14ac:dyDescent="0.45">
      <c r="B37" s="3" t="s">
        <v>5</v>
      </c>
      <c r="C37" s="8">
        <f>AVERAGE(C32:C36)</f>
        <v>6.8261360000000009E-3</v>
      </c>
      <c r="D37" s="8">
        <f>AVERAGE(D32:D36)</f>
        <v>8.822292000000001E-2</v>
      </c>
      <c r="E37" s="8">
        <f t="shared" ref="E37:F37" si="5">AVERAGE(E32:E36)</f>
        <v>1.4409340000000002</v>
      </c>
      <c r="F37" s="9">
        <f t="shared" si="5"/>
        <v>6.7645325000000005</v>
      </c>
    </row>
    <row r="38" spans="2:6" ht="17.5" thickBot="1" x14ac:dyDescent="0.5">
      <c r="B38" s="5" t="s">
        <v>11</v>
      </c>
      <c r="C38" s="10">
        <f>C8/C37</f>
        <v>1.9976132910331696E-2</v>
      </c>
      <c r="D38" s="10">
        <f t="shared" ref="D38:F38" si="6">D8/D37</f>
        <v>3.0220128737520819</v>
      </c>
      <c r="E38" s="10">
        <f t="shared" si="6"/>
        <v>3.561277615768661</v>
      </c>
      <c r="F38" s="10">
        <f t="shared" si="6"/>
        <v>3.6172116846212208</v>
      </c>
    </row>
    <row r="39" spans="2:6" ht="17.5" thickBot="1" x14ac:dyDescent="0.5"/>
    <row r="40" spans="2:6" x14ac:dyDescent="0.45">
      <c r="B40" s="12" t="s">
        <v>15</v>
      </c>
      <c r="C40" s="13"/>
      <c r="D40" s="13"/>
      <c r="E40" s="13"/>
      <c r="F40" s="14"/>
    </row>
    <row r="41" spans="2:6" x14ac:dyDescent="0.45">
      <c r="B41" s="3"/>
      <c r="C41" s="2" t="s">
        <v>6</v>
      </c>
      <c r="D41" s="2" t="s">
        <v>7</v>
      </c>
      <c r="E41" s="2" t="s">
        <v>8</v>
      </c>
      <c r="F41" s="4" t="s">
        <v>9</v>
      </c>
    </row>
    <row r="42" spans="2:6" x14ac:dyDescent="0.45">
      <c r="B42" s="3" t="s">
        <v>0</v>
      </c>
      <c r="C42" s="6">
        <v>1.07771E-2</v>
      </c>
      <c r="D42" s="6">
        <v>7.9824199999999998E-2</v>
      </c>
      <c r="E42" s="6">
        <v>1.3003899999999999</v>
      </c>
      <c r="F42" s="7">
        <v>5.2040499999999996</v>
      </c>
    </row>
    <row r="43" spans="2:6" x14ac:dyDescent="0.45">
      <c r="B43" s="3" t="s">
        <v>1</v>
      </c>
      <c r="C43" s="6">
        <v>1.1469399999999999E-2</v>
      </c>
      <c r="D43" s="6">
        <v>7.8681799999999996E-2</v>
      </c>
      <c r="E43" s="6">
        <v>1.2639400000000001</v>
      </c>
      <c r="F43" s="7">
        <v>5.1938399999999998</v>
      </c>
    </row>
    <row r="44" spans="2:6" x14ac:dyDescent="0.45">
      <c r="B44" s="3" t="s">
        <v>2</v>
      </c>
      <c r="C44" s="6">
        <v>1.6358600000000001E-2</v>
      </c>
      <c r="D44" s="6">
        <v>9.4312400000000005E-2</v>
      </c>
      <c r="E44" s="6">
        <v>1.26417</v>
      </c>
      <c r="F44" s="7">
        <v>5.1921299999999997</v>
      </c>
    </row>
    <row r="45" spans="2:6" x14ac:dyDescent="0.45">
      <c r="B45" s="3" t="s">
        <v>3</v>
      </c>
      <c r="C45" s="6">
        <v>1.06848E-2</v>
      </c>
      <c r="D45" s="6">
        <v>8.0019900000000005E-2</v>
      </c>
      <c r="E45" s="6">
        <v>1.23315</v>
      </c>
      <c r="F45" s="7">
        <v>5.29955</v>
      </c>
    </row>
    <row r="46" spans="2:6" x14ac:dyDescent="0.45">
      <c r="B46" s="3" t="s">
        <v>4</v>
      </c>
      <c r="C46" s="6">
        <v>1.2921E-2</v>
      </c>
      <c r="D46" s="6">
        <v>8.0433199999999996E-2</v>
      </c>
      <c r="E46" s="6">
        <v>1.27565</v>
      </c>
      <c r="F46" s="7">
        <v>5.2440300000000004</v>
      </c>
    </row>
    <row r="47" spans="2:6" x14ac:dyDescent="0.45">
      <c r="B47" s="3" t="s">
        <v>5</v>
      </c>
      <c r="C47" s="8">
        <f>AVERAGE(C42:C46)</f>
        <v>1.2442180000000001E-2</v>
      </c>
      <c r="D47" s="8">
        <f>AVERAGE(D42:D46)</f>
        <v>8.26543E-2</v>
      </c>
      <c r="E47" s="8">
        <f t="shared" ref="E47:F47" si="7">AVERAGE(E42:E46)</f>
        <v>1.26746</v>
      </c>
      <c r="F47" s="9">
        <f t="shared" si="7"/>
        <v>5.2267200000000003</v>
      </c>
    </row>
    <row r="48" spans="2:6" ht="17.5" thickBot="1" x14ac:dyDescent="0.5">
      <c r="B48" s="5" t="s">
        <v>11</v>
      </c>
      <c r="C48" s="10">
        <f>C8/C47</f>
        <v>1.095947816218701E-2</v>
      </c>
      <c r="D48" s="10">
        <f t="shared" ref="D48:F48" si="8">D8/D47</f>
        <v>3.2256131864887858</v>
      </c>
      <c r="E48" s="10">
        <f t="shared" si="8"/>
        <v>4.0487005507077152</v>
      </c>
      <c r="F48" s="10">
        <f t="shared" si="8"/>
        <v>4.6814725104845865</v>
      </c>
    </row>
  </sheetData>
  <mergeCells count="5">
    <mergeCell ref="B1:F1"/>
    <mergeCell ref="B10:F10"/>
    <mergeCell ref="B20:F20"/>
    <mergeCell ref="B30:F30"/>
    <mergeCell ref="B40:F40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B07F0-2764-4F00-8676-4FCEC94331C1}">
  <dimension ref="B1:R48"/>
  <sheetViews>
    <sheetView tabSelected="1" topLeftCell="F12" workbookViewId="0">
      <selection activeCell="N35" sqref="N35"/>
    </sheetView>
  </sheetViews>
  <sheetFormatPr defaultColWidth="12.58203125" defaultRowHeight="17" x14ac:dyDescent="0.45"/>
  <cols>
    <col min="1" max="16384" width="12.58203125" style="1"/>
  </cols>
  <sheetData>
    <row r="1" spans="2:18" x14ac:dyDescent="0.45">
      <c r="B1" s="12" t="s">
        <v>10</v>
      </c>
      <c r="C1" s="13"/>
      <c r="D1" s="13"/>
      <c r="E1" s="13"/>
      <c r="F1" s="14"/>
    </row>
    <row r="2" spans="2:18" x14ac:dyDescent="0.45">
      <c r="B2" s="3"/>
      <c r="C2" s="2" t="s">
        <v>6</v>
      </c>
      <c r="D2" s="2" t="s">
        <v>7</v>
      </c>
      <c r="E2" s="2" t="s">
        <v>8</v>
      </c>
      <c r="F2" s="4" t="s">
        <v>9</v>
      </c>
    </row>
    <row r="3" spans="2:18" x14ac:dyDescent="0.45">
      <c r="B3" s="3" t="s">
        <v>0</v>
      </c>
      <c r="C3" s="6">
        <v>4.3848000000000003E-3</v>
      </c>
      <c r="D3" s="6">
        <v>18.730899999999998</v>
      </c>
      <c r="E3" s="6">
        <v>360.02699999999999</v>
      </c>
      <c r="F3" s="7">
        <v>1639.3</v>
      </c>
    </row>
    <row r="4" spans="2:18" x14ac:dyDescent="0.45">
      <c r="B4" s="3" t="s">
        <v>1</v>
      </c>
      <c r="C4" s="6">
        <v>4.3379999999999998E-3</v>
      </c>
      <c r="D4" s="6">
        <v>18.709399999999999</v>
      </c>
      <c r="E4" s="6">
        <v>361.8</v>
      </c>
      <c r="F4" s="7">
        <v>1640.34</v>
      </c>
    </row>
    <row r="5" spans="2:18" x14ac:dyDescent="0.45">
      <c r="B5" s="3" t="s">
        <v>2</v>
      </c>
      <c r="C5" s="6">
        <v>4.3057E-3</v>
      </c>
      <c r="D5" s="6">
        <v>18.713899999999999</v>
      </c>
      <c r="E5" s="6">
        <v>360.05700000000002</v>
      </c>
      <c r="F5" s="7">
        <v>1637.51</v>
      </c>
    </row>
    <row r="6" spans="2:18" x14ac:dyDescent="0.45">
      <c r="B6" s="3" t="s">
        <v>3</v>
      </c>
      <c r="C6" s="6">
        <v>4.3277999999999997E-3</v>
      </c>
      <c r="D6" s="6">
        <v>18.7256</v>
      </c>
      <c r="E6" s="6">
        <v>361.29199999999997</v>
      </c>
      <c r="F6" s="7">
        <v>1637.37</v>
      </c>
    </row>
    <row r="7" spans="2:18" x14ac:dyDescent="0.45">
      <c r="B7" s="3" t="s">
        <v>4</v>
      </c>
      <c r="C7" s="6">
        <v>4.3382000000000004E-3</v>
      </c>
      <c r="D7" s="6">
        <v>18.720800000000001</v>
      </c>
      <c r="E7" s="6">
        <v>360.06700000000001</v>
      </c>
      <c r="F7" s="7">
        <v>1635.9</v>
      </c>
    </row>
    <row r="8" spans="2:18" ht="17.5" thickBot="1" x14ac:dyDescent="0.5">
      <c r="B8" s="5" t="s">
        <v>5</v>
      </c>
      <c r="C8" s="10">
        <f>AVERAGE(C3:C7)</f>
        <v>4.3388999999999997E-3</v>
      </c>
      <c r="D8" s="10">
        <f>AVERAGE(D3:D7)</f>
        <v>18.720119999999998</v>
      </c>
      <c r="E8" s="10">
        <f t="shared" ref="E8:F8" si="0">AVERAGE(E3:E7)</f>
        <v>360.64859999999999</v>
      </c>
      <c r="F8" s="11">
        <f t="shared" si="0"/>
        <v>1638.0840000000001</v>
      </c>
    </row>
    <row r="9" spans="2:18" ht="17.5" thickBot="1" x14ac:dyDescent="0.5"/>
    <row r="10" spans="2:18" x14ac:dyDescent="0.45">
      <c r="B10" s="15" t="s">
        <v>12</v>
      </c>
      <c r="C10" s="16"/>
      <c r="D10" s="16"/>
      <c r="E10" s="16"/>
      <c r="F10" s="17"/>
      <c r="H10" s="12" t="s">
        <v>17</v>
      </c>
      <c r="I10" s="13"/>
      <c r="J10" s="13"/>
      <c r="K10" s="13"/>
      <c r="L10" s="14"/>
      <c r="N10" s="15" t="s">
        <v>21</v>
      </c>
      <c r="O10" s="16"/>
      <c r="P10" s="16"/>
      <c r="Q10" s="16"/>
      <c r="R10" s="17"/>
    </row>
    <row r="11" spans="2:18" x14ac:dyDescent="0.45">
      <c r="B11" s="3"/>
      <c r="C11" s="2" t="s">
        <v>6</v>
      </c>
      <c r="D11" s="2" t="s">
        <v>7</v>
      </c>
      <c r="E11" s="2" t="s">
        <v>8</v>
      </c>
      <c r="F11" s="4" t="s">
        <v>9</v>
      </c>
      <c r="H11" s="3"/>
      <c r="I11" s="2" t="s">
        <v>6</v>
      </c>
      <c r="J11" s="2" t="s">
        <v>7</v>
      </c>
      <c r="K11" s="2" t="s">
        <v>8</v>
      </c>
      <c r="L11" s="4" t="s">
        <v>9</v>
      </c>
      <c r="N11" s="3"/>
      <c r="O11" s="2" t="s">
        <v>6</v>
      </c>
      <c r="P11" s="2" t="s">
        <v>7</v>
      </c>
      <c r="Q11" s="2" t="s">
        <v>8</v>
      </c>
      <c r="R11" s="4" t="s">
        <v>9</v>
      </c>
    </row>
    <row r="12" spans="2:18" x14ac:dyDescent="0.45">
      <c r="B12" s="3" t="s">
        <v>0</v>
      </c>
      <c r="C12" s="6">
        <v>4.2218999999999998E-3</v>
      </c>
      <c r="D12" s="6">
        <v>10.14292</v>
      </c>
      <c r="E12" s="6">
        <v>193.76983000000001</v>
      </c>
      <c r="F12" s="7">
        <v>839.47177999999997</v>
      </c>
      <c r="H12" s="3" t="s">
        <v>0</v>
      </c>
      <c r="I12" s="6">
        <v>7.7559999999999999E-4</v>
      </c>
      <c r="J12" s="6">
        <v>0.68517300000000003</v>
      </c>
      <c r="K12" s="6">
        <v>12.312110000000001</v>
      </c>
      <c r="L12" s="7">
        <v>54.015889999999999</v>
      </c>
      <c r="N12" s="3" t="s">
        <v>0</v>
      </c>
      <c r="O12" s="6">
        <v>2.5149999999999999E-3</v>
      </c>
      <c r="P12" s="6">
        <v>0.11663800000000001</v>
      </c>
      <c r="Q12" s="6">
        <v>1.7878700000000001</v>
      </c>
      <c r="R12" s="7">
        <v>7.8134600000000001</v>
      </c>
    </row>
    <row r="13" spans="2:18" x14ac:dyDescent="0.45">
      <c r="B13" s="3" t="s">
        <v>1</v>
      </c>
      <c r="C13" s="6">
        <v>4.2281000000000003E-3</v>
      </c>
      <c r="D13" s="6">
        <v>10.122249999999999</v>
      </c>
      <c r="E13" s="6">
        <v>193.76836900000001</v>
      </c>
      <c r="F13" s="7">
        <v>839.52647999999999</v>
      </c>
      <c r="H13" s="3" t="s">
        <v>1</v>
      </c>
      <c r="I13" s="6">
        <v>7.716E-4</v>
      </c>
      <c r="J13" s="6">
        <v>0.667825</v>
      </c>
      <c r="K13" s="6">
        <v>12.395379999999999</v>
      </c>
      <c r="L13" s="7">
        <v>57.958039999999997</v>
      </c>
      <c r="N13" s="3" t="s">
        <v>1</v>
      </c>
      <c r="O13" s="6">
        <v>2.5501E-3</v>
      </c>
      <c r="P13" s="6">
        <v>0.105326</v>
      </c>
      <c r="Q13" s="6">
        <v>1.78945</v>
      </c>
      <c r="R13" s="7">
        <v>7.7942299999999998</v>
      </c>
    </row>
    <row r="14" spans="2:18" x14ac:dyDescent="0.45">
      <c r="B14" s="3" t="s">
        <v>2</v>
      </c>
      <c r="C14" s="6">
        <v>4.2170999999999997E-3</v>
      </c>
      <c r="D14" s="6">
        <v>10.11744</v>
      </c>
      <c r="E14" s="6">
        <v>194.71053000000001</v>
      </c>
      <c r="F14" s="7">
        <v>839.49839999999995</v>
      </c>
      <c r="H14" s="3" t="s">
        <v>2</v>
      </c>
      <c r="I14" s="6">
        <v>7.6519999999999995E-4</v>
      </c>
      <c r="J14" s="6">
        <v>0.68356399999999995</v>
      </c>
      <c r="K14" s="6">
        <v>12.48854</v>
      </c>
      <c r="L14" s="7">
        <v>55.274529999999999</v>
      </c>
      <c r="N14" s="3" t="s">
        <v>2</v>
      </c>
      <c r="O14" s="6">
        <v>2.4908999999999999E-3</v>
      </c>
      <c r="P14" s="6">
        <v>0.101354</v>
      </c>
      <c r="Q14" s="6">
        <v>1.78827</v>
      </c>
      <c r="R14" s="7">
        <v>7.9663500000000003</v>
      </c>
    </row>
    <row r="15" spans="2:18" x14ac:dyDescent="0.45">
      <c r="B15" s="3" t="s">
        <v>3</v>
      </c>
      <c r="C15" s="6">
        <v>4.2112E-3</v>
      </c>
      <c r="D15" s="6">
        <v>10.13513</v>
      </c>
      <c r="E15" s="6">
        <v>193.76943</v>
      </c>
      <c r="F15" s="7">
        <v>839.54003999999998</v>
      </c>
      <c r="H15" s="3" t="s">
        <v>3</v>
      </c>
      <c r="I15" s="6">
        <v>7.7990000000000004E-4</v>
      </c>
      <c r="J15" s="6">
        <v>0.63264699999999996</v>
      </c>
      <c r="K15" s="6">
        <v>12.453150000000001</v>
      </c>
      <c r="L15" s="7">
        <v>55.274529999999999</v>
      </c>
      <c r="N15" s="3" t="s">
        <v>3</v>
      </c>
      <c r="O15" s="6">
        <v>2.5079999999999998E-3</v>
      </c>
      <c r="P15" s="6">
        <v>9.3248399999999995E-2</v>
      </c>
      <c r="Q15" s="6">
        <v>1.80827</v>
      </c>
      <c r="R15" s="7">
        <v>7.8350600000000004</v>
      </c>
    </row>
    <row r="16" spans="2:18" x14ac:dyDescent="0.45">
      <c r="B16" s="3" t="s">
        <v>4</v>
      </c>
      <c r="C16" s="6">
        <v>4.2129999999999997E-3</v>
      </c>
      <c r="D16" s="6">
        <v>10.11978</v>
      </c>
      <c r="E16" s="6">
        <v>193.77037000000001</v>
      </c>
      <c r="F16" s="7">
        <v>839.44185000000004</v>
      </c>
      <c r="H16" s="3" t="s">
        <v>4</v>
      </c>
      <c r="I16" s="6">
        <v>7.8810000000000002E-4</v>
      </c>
      <c r="J16" s="6">
        <v>0.63278999999999996</v>
      </c>
      <c r="K16" s="6">
        <v>12.589259999999999</v>
      </c>
      <c r="L16" s="7">
        <v>53.663919999999997</v>
      </c>
      <c r="N16" s="3" t="s">
        <v>4</v>
      </c>
      <c r="O16" s="6">
        <v>2.5100000000000001E-3</v>
      </c>
      <c r="P16" s="6">
        <v>9.3047199999999997E-2</v>
      </c>
      <c r="Q16" s="6">
        <v>1.78742</v>
      </c>
      <c r="R16" s="7">
        <v>8.3848299999999991</v>
      </c>
    </row>
    <row r="17" spans="2:18" x14ac:dyDescent="0.45">
      <c r="B17" s="3" t="s">
        <v>5</v>
      </c>
      <c r="C17" s="8">
        <f>AVERAGE(C12:C16)</f>
        <v>4.2182599999999997E-3</v>
      </c>
      <c r="D17" s="8">
        <f>AVERAGE(D12:D16)</f>
        <v>10.127504</v>
      </c>
      <c r="E17" s="8">
        <f t="shared" ref="E17:F17" si="1">AVERAGE(E12:E16)</f>
        <v>193.95770579999999</v>
      </c>
      <c r="F17" s="9">
        <f t="shared" si="1"/>
        <v>839.49570999999992</v>
      </c>
      <c r="H17" s="3" t="s">
        <v>5</v>
      </c>
      <c r="I17" s="8">
        <f>AVERAGE(I12:I16)</f>
        <v>7.7607999999999996E-4</v>
      </c>
      <c r="J17" s="8">
        <f>AVERAGE(J12:J16)</f>
        <v>0.66039979999999998</v>
      </c>
      <c r="K17" s="8">
        <f t="shared" ref="K17" si="2">AVERAGE(K12:K16)</f>
        <v>12.447687999999999</v>
      </c>
      <c r="L17" s="9">
        <f t="shared" ref="L17" si="3">AVERAGE(L12:L16)</f>
        <v>55.237382000000004</v>
      </c>
      <c r="N17" s="3" t="s">
        <v>5</v>
      </c>
      <c r="O17" s="8">
        <f>AVERAGE(O12:O16)</f>
        <v>2.5148000000000002E-3</v>
      </c>
      <c r="P17" s="8">
        <f>AVERAGE(P12:P16)</f>
        <v>0.10192271999999999</v>
      </c>
      <c r="Q17" s="8">
        <f t="shared" ref="Q17" si="4">AVERAGE(Q12:Q16)</f>
        <v>1.7922560000000001</v>
      </c>
      <c r="R17" s="9">
        <f>AVERAGE(R12:R16)</f>
        <v>7.9587860000000008</v>
      </c>
    </row>
    <row r="18" spans="2:18" ht="17.5" thickBot="1" x14ac:dyDescent="0.5">
      <c r="B18" s="5" t="s">
        <v>11</v>
      </c>
      <c r="C18" s="10">
        <f>$C$8/C17</f>
        <v>1.0285994699236178</v>
      </c>
      <c r="D18" s="10">
        <f>$D$8/D17</f>
        <v>1.8484436046631034</v>
      </c>
      <c r="E18" s="10">
        <f>$E$8/E17</f>
        <v>1.8594187764413124</v>
      </c>
      <c r="F18" s="11">
        <f>$F$8/F17</f>
        <v>1.9512714365151433</v>
      </c>
      <c r="H18" s="5" t="s">
        <v>11</v>
      </c>
      <c r="I18" s="10">
        <f>$C$8/I17</f>
        <v>5.5907896093186267</v>
      </c>
      <c r="J18" s="10">
        <f>$D$8/J17</f>
        <v>28.346646985659291</v>
      </c>
      <c r="K18" s="10">
        <f>$E$8/K17</f>
        <v>28.973139429587246</v>
      </c>
      <c r="L18" s="11">
        <f>$F$8/L17</f>
        <v>29.655351877465879</v>
      </c>
      <c r="N18" s="5" t="s">
        <v>11</v>
      </c>
      <c r="O18" s="10">
        <f>$C$8/O17</f>
        <v>1.7253459519643706</v>
      </c>
      <c r="P18" s="10">
        <f>$D$8/P17</f>
        <v>183.66974507744689</v>
      </c>
      <c r="Q18" s="10">
        <f>$E$8/Q17</f>
        <v>201.22605252821023</v>
      </c>
      <c r="R18" s="11">
        <f>$F$8/R17</f>
        <v>205.82083749958849</v>
      </c>
    </row>
    <row r="19" spans="2:18" ht="17.5" thickBot="1" x14ac:dyDescent="0.5"/>
    <row r="20" spans="2:18" x14ac:dyDescent="0.45">
      <c r="B20" s="15" t="s">
        <v>13</v>
      </c>
      <c r="C20" s="16"/>
      <c r="D20" s="16"/>
      <c r="E20" s="16"/>
      <c r="F20" s="17"/>
      <c r="H20" s="12" t="s">
        <v>18</v>
      </c>
      <c r="I20" s="13"/>
      <c r="J20" s="13"/>
      <c r="K20" s="13"/>
      <c r="L20" s="14"/>
      <c r="N20" s="15" t="s">
        <v>22</v>
      </c>
      <c r="O20" s="16"/>
      <c r="P20" s="16"/>
      <c r="Q20" s="16"/>
      <c r="R20" s="17"/>
    </row>
    <row r="21" spans="2:18" x14ac:dyDescent="0.45">
      <c r="B21" s="3"/>
      <c r="C21" s="2" t="s">
        <v>6</v>
      </c>
      <c r="D21" s="2" t="s">
        <v>7</v>
      </c>
      <c r="E21" s="2" t="s">
        <v>8</v>
      </c>
      <c r="F21" s="4" t="s">
        <v>9</v>
      </c>
      <c r="H21" s="3"/>
      <c r="I21" s="2" t="s">
        <v>6</v>
      </c>
      <c r="J21" s="2" t="s">
        <v>7</v>
      </c>
      <c r="K21" s="2" t="s">
        <v>8</v>
      </c>
      <c r="L21" s="4" t="s">
        <v>9</v>
      </c>
      <c r="N21" s="3"/>
      <c r="O21" s="2" t="s">
        <v>6</v>
      </c>
      <c r="P21" s="2" t="s">
        <v>7</v>
      </c>
      <c r="Q21" s="2" t="s">
        <v>8</v>
      </c>
      <c r="R21" s="4" t="s">
        <v>9</v>
      </c>
    </row>
    <row r="22" spans="2:18" x14ac:dyDescent="0.45">
      <c r="B22" s="3" t="s">
        <v>0</v>
      </c>
      <c r="C22" s="6">
        <v>2.3443000000000001E-3</v>
      </c>
      <c r="D22" s="6">
        <v>5.1004269999999998</v>
      </c>
      <c r="E22" s="6">
        <v>96.846429999999998</v>
      </c>
      <c r="F22" s="7">
        <v>419.85449</v>
      </c>
      <c r="H22" s="3" t="s">
        <v>0</v>
      </c>
      <c r="I22" s="6">
        <v>8.8340000000000001E-4</v>
      </c>
      <c r="J22" s="6">
        <v>0.34462300000000001</v>
      </c>
      <c r="K22" s="6">
        <v>5.8814200000000003</v>
      </c>
      <c r="L22" s="7">
        <v>25.348970000000001</v>
      </c>
      <c r="N22" s="3" t="s">
        <v>0</v>
      </c>
      <c r="O22" s="6">
        <v>3.0052E-3</v>
      </c>
      <c r="P22" s="6">
        <v>0.1249489</v>
      </c>
      <c r="Q22" s="6">
        <v>1.80253</v>
      </c>
      <c r="R22" s="7">
        <v>7.7515000000000001</v>
      </c>
    </row>
    <row r="23" spans="2:18" x14ac:dyDescent="0.45">
      <c r="B23" s="3" t="s">
        <v>1</v>
      </c>
      <c r="C23" s="6">
        <v>2.3143999999999999E-3</v>
      </c>
      <c r="D23" s="6">
        <v>5.0942999999999996</v>
      </c>
      <c r="E23" s="6">
        <v>96.818070000000006</v>
      </c>
      <c r="F23" s="7">
        <v>419.39305999999999</v>
      </c>
      <c r="H23" s="3" t="s">
        <v>1</v>
      </c>
      <c r="I23" s="6">
        <v>9.4799999999999995E-4</v>
      </c>
      <c r="J23" s="6">
        <v>0.37017299999999997</v>
      </c>
      <c r="K23" s="6">
        <v>5.87399</v>
      </c>
      <c r="L23" s="7">
        <v>25.393630000000002</v>
      </c>
      <c r="N23" s="3" t="s">
        <v>1</v>
      </c>
      <c r="O23" s="6">
        <v>3.8176999999999998E-3</v>
      </c>
      <c r="P23" s="6">
        <v>0.1006537</v>
      </c>
      <c r="Q23" s="6">
        <v>1.7991299999999999</v>
      </c>
      <c r="R23" s="7">
        <v>7.7839</v>
      </c>
    </row>
    <row r="24" spans="2:18" x14ac:dyDescent="0.45">
      <c r="B24" s="3" t="s">
        <v>2</v>
      </c>
      <c r="C24" s="6">
        <v>2.3249E-3</v>
      </c>
      <c r="D24" s="6">
        <v>5.0984100000000003</v>
      </c>
      <c r="E24" s="6">
        <v>96.827150000000003</v>
      </c>
      <c r="F24" s="7">
        <v>419.34348999999997</v>
      </c>
      <c r="H24" s="3" t="s">
        <v>2</v>
      </c>
      <c r="I24" s="6">
        <v>8.2810000000000002E-4</v>
      </c>
      <c r="J24" s="6">
        <v>0.30725599999999997</v>
      </c>
      <c r="K24" s="6">
        <v>5.8804299999999996</v>
      </c>
      <c r="L24" s="7">
        <v>25.377040000000001</v>
      </c>
      <c r="N24" s="3" t="s">
        <v>2</v>
      </c>
      <c r="O24" s="6">
        <v>3.7233000000000001E-3</v>
      </c>
      <c r="P24" s="6">
        <v>0.1244239</v>
      </c>
      <c r="Q24" s="6">
        <v>1.8102100000000001</v>
      </c>
      <c r="R24" s="7">
        <v>7.7583900000000003</v>
      </c>
    </row>
    <row r="25" spans="2:18" x14ac:dyDescent="0.45">
      <c r="B25" s="3" t="s">
        <v>3</v>
      </c>
      <c r="C25" s="6">
        <v>2.3097E-3</v>
      </c>
      <c r="D25" s="6">
        <v>5.0765159999999998</v>
      </c>
      <c r="E25" s="6">
        <v>96.82226</v>
      </c>
      <c r="F25" s="7">
        <v>419.40109000000001</v>
      </c>
      <c r="H25" s="3" t="s">
        <v>3</v>
      </c>
      <c r="I25" s="6">
        <v>8.8210000000000003E-4</v>
      </c>
      <c r="J25" s="6">
        <v>0.30696099999999998</v>
      </c>
      <c r="K25" s="6">
        <v>5.8793499999999996</v>
      </c>
      <c r="L25" s="7">
        <v>25.38222</v>
      </c>
      <c r="N25" s="3" t="s">
        <v>3</v>
      </c>
      <c r="O25" s="6">
        <v>3.0441000000000001E-3</v>
      </c>
      <c r="P25" s="6">
        <v>9.9604300000000007E-2</v>
      </c>
      <c r="Q25" s="6">
        <v>1.8208500000000001</v>
      </c>
      <c r="R25" s="7">
        <v>7.7688100000000002</v>
      </c>
    </row>
    <row r="26" spans="2:18" x14ac:dyDescent="0.45">
      <c r="B26" s="3" t="s">
        <v>4</v>
      </c>
      <c r="C26" s="6">
        <v>2.3273E-3</v>
      </c>
      <c r="D26" s="6">
        <v>5.0719019999999997</v>
      </c>
      <c r="E26" s="6">
        <v>96.830380000000005</v>
      </c>
      <c r="F26" s="7">
        <v>419.43786</v>
      </c>
      <c r="H26" s="3" t="s">
        <v>4</v>
      </c>
      <c r="I26" s="6">
        <v>9.0700000000000004E-4</v>
      </c>
      <c r="J26" s="6">
        <v>0.30716100000000002</v>
      </c>
      <c r="K26" s="6">
        <v>5.8933200000000001</v>
      </c>
      <c r="L26" s="7">
        <v>25.37837</v>
      </c>
      <c r="N26" s="3" t="s">
        <v>4</v>
      </c>
      <c r="O26" s="6">
        <v>3.7301999999999999E-3</v>
      </c>
      <c r="P26" s="6">
        <v>0.1002967</v>
      </c>
      <c r="Q26" s="6">
        <v>1.79359</v>
      </c>
      <c r="R26" s="7">
        <v>7.7934200000000002</v>
      </c>
    </row>
    <row r="27" spans="2:18" x14ac:dyDescent="0.45">
      <c r="B27" s="3" t="s">
        <v>5</v>
      </c>
      <c r="C27" s="8">
        <f>AVERAGE(C22:C26)</f>
        <v>2.3241199999999998E-3</v>
      </c>
      <c r="D27" s="8">
        <f>AVERAGE(D22:D26)</f>
        <v>5.088311</v>
      </c>
      <c r="E27" s="8">
        <f t="shared" ref="E27:F27" si="5">AVERAGE(E22:E26)</f>
        <v>96.828857999999997</v>
      </c>
      <c r="F27" s="9">
        <f t="shared" si="5"/>
        <v>419.485998</v>
      </c>
      <c r="H27" s="3" t="s">
        <v>5</v>
      </c>
      <c r="I27" s="8">
        <f>AVERAGE(I22:I26)</f>
        <v>8.8971999999999988E-4</v>
      </c>
      <c r="J27" s="8">
        <f>AVERAGE(J22:J26)</f>
        <v>0.32723479999999999</v>
      </c>
      <c r="K27" s="8">
        <f t="shared" ref="K27" si="6">AVERAGE(K22:K26)</f>
        <v>5.8817019999999998</v>
      </c>
      <c r="L27" s="9">
        <f t="shared" ref="L27" si="7">AVERAGE(L22:L26)</f>
        <v>25.376046000000002</v>
      </c>
      <c r="N27" s="3" t="s">
        <v>5</v>
      </c>
      <c r="O27" s="8">
        <f>AVERAGE(O22:O26)</f>
        <v>3.4640999999999999E-3</v>
      </c>
      <c r="P27" s="8">
        <f>AVERAGE(P22:P26)</f>
        <v>0.1099855</v>
      </c>
      <c r="Q27" s="8">
        <f t="shared" ref="Q27" si="8">AVERAGE(Q22:Q26)</f>
        <v>1.8052620000000001</v>
      </c>
      <c r="R27" s="9">
        <f t="shared" ref="R27" si="9">AVERAGE(R22:R26)</f>
        <v>7.771204</v>
      </c>
    </row>
    <row r="28" spans="2:18" ht="17.5" thickBot="1" x14ac:dyDescent="0.5">
      <c r="B28" s="5" t="s">
        <v>11</v>
      </c>
      <c r="C28" s="10">
        <f>$C$8/C27</f>
        <v>1.8669001600605821</v>
      </c>
      <c r="D28" s="10">
        <f>$D$8/D27</f>
        <v>3.6790439892530151</v>
      </c>
      <c r="E28" s="10">
        <f>$E$8/E27</f>
        <v>3.7245983010560755</v>
      </c>
      <c r="F28" s="11">
        <f>$F$8/F27</f>
        <v>3.9049789690477348</v>
      </c>
      <c r="H28" s="5" t="s">
        <v>11</v>
      </c>
      <c r="I28" s="10">
        <f>$C$8/I27</f>
        <v>4.8767027828979908</v>
      </c>
      <c r="J28" s="10">
        <f>$D$8/J27</f>
        <v>57.206996321907077</v>
      </c>
      <c r="K28" s="10">
        <f>$E$8/K27</f>
        <v>61.317047344459141</v>
      </c>
      <c r="L28" s="11">
        <f>$F$8/L27</f>
        <v>64.552373525804612</v>
      </c>
      <c r="N28" s="5" t="s">
        <v>11</v>
      </c>
      <c r="O28" s="10">
        <f>$C$8/O27</f>
        <v>1.2525331254871395</v>
      </c>
      <c r="P28" s="10">
        <f>$D$8/P27</f>
        <v>170.20534525005567</v>
      </c>
      <c r="Q28" s="10">
        <f>$E$8/Q27</f>
        <v>199.77632055624056</v>
      </c>
      <c r="R28" s="11">
        <f>$F$8/R27</f>
        <v>210.78895882800143</v>
      </c>
    </row>
    <row r="29" spans="2:18" ht="17.5" thickBot="1" x14ac:dyDescent="0.5"/>
    <row r="30" spans="2:18" x14ac:dyDescent="0.45">
      <c r="B30" s="15" t="s">
        <v>14</v>
      </c>
      <c r="C30" s="16"/>
      <c r="D30" s="16"/>
      <c r="E30" s="16"/>
      <c r="F30" s="17"/>
      <c r="H30" s="12" t="s">
        <v>19</v>
      </c>
      <c r="I30" s="13"/>
      <c r="J30" s="13"/>
      <c r="K30" s="13"/>
      <c r="L30" s="14"/>
    </row>
    <row r="31" spans="2:18" x14ac:dyDescent="0.45">
      <c r="B31" s="3"/>
      <c r="C31" s="2" t="s">
        <v>6</v>
      </c>
      <c r="D31" s="2" t="s">
        <v>7</v>
      </c>
      <c r="E31" s="2" t="s">
        <v>8</v>
      </c>
      <c r="F31" s="4" t="s">
        <v>9</v>
      </c>
      <c r="H31" s="3"/>
      <c r="I31" s="2" t="s">
        <v>6</v>
      </c>
      <c r="J31" s="2" t="s">
        <v>7</v>
      </c>
      <c r="K31" s="2" t="s">
        <v>8</v>
      </c>
      <c r="L31" s="4" t="s">
        <v>9</v>
      </c>
    </row>
    <row r="32" spans="2:18" x14ac:dyDescent="0.45">
      <c r="B32" s="3" t="s">
        <v>0</v>
      </c>
      <c r="C32" s="6">
        <v>1.3925000000000001E-3</v>
      </c>
      <c r="D32" s="6">
        <v>2.55396</v>
      </c>
      <c r="E32" s="6">
        <v>48.079839999999997</v>
      </c>
      <c r="F32" s="7">
        <v>209.27399</v>
      </c>
      <c r="H32" s="3" t="s">
        <v>0</v>
      </c>
      <c r="I32" s="6">
        <v>9.9369999999999992E-4</v>
      </c>
      <c r="J32" s="6">
        <v>0.16042400000000001</v>
      </c>
      <c r="K32" s="6">
        <v>3.1009899999999999</v>
      </c>
      <c r="L32" s="7">
        <v>13.314590000000001</v>
      </c>
    </row>
    <row r="33" spans="2:12" x14ac:dyDescent="0.45">
      <c r="B33" s="3" t="s">
        <v>1</v>
      </c>
      <c r="C33" s="6">
        <v>1.4013999999999999E-3</v>
      </c>
      <c r="D33" s="6">
        <v>2.5453399999999999</v>
      </c>
      <c r="E33" s="6">
        <v>48.013579999999997</v>
      </c>
      <c r="F33" s="7">
        <v>226.00538</v>
      </c>
      <c r="H33" s="3" t="s">
        <v>1</v>
      </c>
      <c r="I33" s="6">
        <v>1.0120000000000001E-3</v>
      </c>
      <c r="J33" s="6">
        <v>0.160276</v>
      </c>
      <c r="K33" s="6">
        <v>3.0960000000000001</v>
      </c>
      <c r="L33" s="7">
        <v>13.33719</v>
      </c>
    </row>
    <row r="34" spans="2:12" x14ac:dyDescent="0.45">
      <c r="B34" s="3" t="s">
        <v>2</v>
      </c>
      <c r="C34" s="6">
        <v>1.3828E-3</v>
      </c>
      <c r="D34" s="6">
        <v>2.5592100000000002</v>
      </c>
      <c r="E34" s="6">
        <v>48.015689999999999</v>
      </c>
      <c r="F34" s="7">
        <v>209.57474999999999</v>
      </c>
      <c r="H34" s="3" t="s">
        <v>2</v>
      </c>
      <c r="I34" s="6">
        <v>9.6369999999999995E-4</v>
      </c>
      <c r="J34" s="6">
        <v>0.16031799999999999</v>
      </c>
      <c r="K34" s="6">
        <v>3.1031599999999999</v>
      </c>
      <c r="L34" s="7">
        <v>13.31016</v>
      </c>
    </row>
    <row r="35" spans="2:12" x14ac:dyDescent="0.45">
      <c r="B35" s="3" t="s">
        <v>3</v>
      </c>
      <c r="C35" s="6">
        <v>1.3923E-3</v>
      </c>
      <c r="D35" s="6">
        <v>2.5531600000000001</v>
      </c>
      <c r="E35" s="6">
        <v>48.088459999999998</v>
      </c>
      <c r="F35" s="7">
        <v>209.58472</v>
      </c>
      <c r="H35" s="3" t="s">
        <v>3</v>
      </c>
      <c r="I35" s="6">
        <v>1.0223999999999999E-3</v>
      </c>
      <c r="J35" s="6">
        <v>0.16131899999999999</v>
      </c>
      <c r="K35" s="6">
        <v>3.0929199999999999</v>
      </c>
      <c r="L35" s="7">
        <v>13.33192</v>
      </c>
    </row>
    <row r="36" spans="2:12" x14ac:dyDescent="0.45">
      <c r="B36" s="3" t="s">
        <v>4</v>
      </c>
      <c r="C36" s="6">
        <v>2.0874999999999999E-3</v>
      </c>
      <c r="D36" s="6">
        <v>2.5406200000000001</v>
      </c>
      <c r="E36" s="6">
        <v>48.100380000000001</v>
      </c>
      <c r="F36" s="7">
        <v>210.10127</v>
      </c>
      <c r="H36" s="3" t="s">
        <v>4</v>
      </c>
      <c r="I36" s="6">
        <v>9.9270000000000001E-4</v>
      </c>
      <c r="J36" s="6">
        <v>0.160382</v>
      </c>
      <c r="K36" s="6">
        <v>3.09267</v>
      </c>
      <c r="L36" s="7">
        <v>13.344010000000001</v>
      </c>
    </row>
    <row r="37" spans="2:12" x14ac:dyDescent="0.45">
      <c r="B37" s="3" t="s">
        <v>5</v>
      </c>
      <c r="C37" s="8">
        <f>AVERAGE(C32:C36)</f>
        <v>1.5313E-3</v>
      </c>
      <c r="D37" s="8">
        <f>AVERAGE(D32:D36)</f>
        <v>2.5504579999999999</v>
      </c>
      <c r="E37" s="8">
        <f t="shared" ref="E37:F37" si="10">AVERAGE(E32:E36)</f>
        <v>48.05959</v>
      </c>
      <c r="F37" s="9">
        <f t="shared" si="10"/>
        <v>212.90802199999999</v>
      </c>
      <c r="H37" s="3" t="s">
        <v>5</v>
      </c>
      <c r="I37" s="8">
        <f>AVERAGE(I32:I36)</f>
        <v>9.969E-4</v>
      </c>
      <c r="J37" s="8">
        <f>AVERAGE(J32:J36)</f>
        <v>0.16054379999999999</v>
      </c>
      <c r="K37" s="8">
        <f t="shared" ref="K37" si="11">AVERAGE(K32:K36)</f>
        <v>3.0971479999999998</v>
      </c>
      <c r="L37" s="9">
        <f t="shared" ref="L37" si="12">AVERAGE(L32:L36)</f>
        <v>13.327573999999998</v>
      </c>
    </row>
    <row r="38" spans="2:12" ht="17.5" thickBot="1" x14ac:dyDescent="0.5">
      <c r="B38" s="5" t="s">
        <v>11</v>
      </c>
      <c r="C38" s="10">
        <f>$C$8/C37</f>
        <v>2.8334748253118263</v>
      </c>
      <c r="D38" s="10">
        <f>$D$8/D37</f>
        <v>7.3399052248654941</v>
      </c>
      <c r="E38" s="10">
        <f>$E$8/E37</f>
        <v>7.5041963529027189</v>
      </c>
      <c r="F38" s="10">
        <f>$F$8/F37</f>
        <v>7.6938575851312931</v>
      </c>
      <c r="H38" s="5" t="s">
        <v>11</v>
      </c>
      <c r="I38" s="10">
        <f>$C$8/I37</f>
        <v>4.3523924164911225</v>
      </c>
      <c r="J38" s="10">
        <f>$D$8/J37</f>
        <v>116.60444065731595</v>
      </c>
      <c r="K38" s="10">
        <f>$E$8/K37</f>
        <v>116.44538782131174</v>
      </c>
      <c r="L38" s="10">
        <f>$F$8/L37</f>
        <v>122.90939071131777</v>
      </c>
    </row>
    <row r="39" spans="2:12" ht="17.5" thickBot="1" x14ac:dyDescent="0.5"/>
    <row r="40" spans="2:12" x14ac:dyDescent="0.45">
      <c r="B40" s="15" t="s">
        <v>15</v>
      </c>
      <c r="C40" s="16"/>
      <c r="D40" s="16"/>
      <c r="E40" s="16"/>
      <c r="F40" s="17"/>
      <c r="H40" s="12" t="s">
        <v>20</v>
      </c>
      <c r="I40" s="13"/>
      <c r="J40" s="13"/>
      <c r="K40" s="13"/>
      <c r="L40" s="14"/>
    </row>
    <row r="41" spans="2:12" x14ac:dyDescent="0.45">
      <c r="B41" s="3"/>
      <c r="C41" s="2" t="s">
        <v>6</v>
      </c>
      <c r="D41" s="2" t="s">
        <v>7</v>
      </c>
      <c r="E41" s="2" t="s">
        <v>8</v>
      </c>
      <c r="F41" s="4" t="s">
        <v>9</v>
      </c>
      <c r="H41" s="3"/>
      <c r="I41" s="2" t="s">
        <v>6</v>
      </c>
      <c r="J41" s="2" t="s">
        <v>7</v>
      </c>
      <c r="K41" s="2" t="s">
        <v>8</v>
      </c>
      <c r="L41" s="4" t="s">
        <v>9</v>
      </c>
    </row>
    <row r="42" spans="2:12" x14ac:dyDescent="0.45">
      <c r="B42" s="3" t="s">
        <v>0</v>
      </c>
      <c r="C42" s="6">
        <v>1.0211E-3</v>
      </c>
      <c r="D42" s="6">
        <v>1.2846299999999999</v>
      </c>
      <c r="E42" s="6">
        <v>23.716619999999999</v>
      </c>
      <c r="F42" s="7">
        <v>105.39103</v>
      </c>
      <c r="H42" s="3" t="s">
        <v>0</v>
      </c>
      <c r="I42" s="6">
        <v>1.5372999999999999E-3</v>
      </c>
      <c r="J42" s="6">
        <v>0.111424</v>
      </c>
      <c r="K42" s="6">
        <v>1.7769600000000001</v>
      </c>
      <c r="L42" s="7">
        <v>7.7020400000000002</v>
      </c>
    </row>
    <row r="43" spans="2:12" x14ac:dyDescent="0.45">
      <c r="B43" s="3" t="s">
        <v>1</v>
      </c>
      <c r="C43" s="6">
        <v>1.0521E-3</v>
      </c>
      <c r="D43" s="6">
        <v>1.3002800000000001</v>
      </c>
      <c r="E43" s="6">
        <v>23.791709999999998</v>
      </c>
      <c r="F43" s="7">
        <v>104.73493000000001</v>
      </c>
      <c r="H43" s="3" t="s">
        <v>1</v>
      </c>
      <c r="I43" s="6">
        <v>1.6041E-3</v>
      </c>
      <c r="J43" s="6">
        <v>0.10977099999999999</v>
      </c>
      <c r="K43" s="6">
        <v>1.77397</v>
      </c>
      <c r="L43" s="7">
        <v>7.68832</v>
      </c>
    </row>
    <row r="44" spans="2:12" x14ac:dyDescent="0.45">
      <c r="B44" s="3" t="s">
        <v>2</v>
      </c>
      <c r="C44" s="6">
        <v>1.0671000000000001E-3</v>
      </c>
      <c r="D44" s="6">
        <v>1.30047</v>
      </c>
      <c r="E44" s="6">
        <v>23.748830000000002</v>
      </c>
      <c r="F44" s="7">
        <v>104.98896999999999</v>
      </c>
      <c r="H44" s="3" t="s">
        <v>2</v>
      </c>
      <c r="I44" s="6">
        <v>2.2664E-3</v>
      </c>
      <c r="J44" s="6">
        <v>9.5927999999999999E-2</v>
      </c>
      <c r="K44" s="6">
        <v>1.7811699999999999</v>
      </c>
      <c r="L44" s="7">
        <v>7.7270799999999999</v>
      </c>
    </row>
    <row r="45" spans="2:12" x14ac:dyDescent="0.45">
      <c r="B45" s="3" t="s">
        <v>3</v>
      </c>
      <c r="C45" s="6">
        <v>1.1917E-3</v>
      </c>
      <c r="D45" s="6">
        <v>1.3029999999999999</v>
      </c>
      <c r="E45" s="6">
        <v>23.75198</v>
      </c>
      <c r="F45" s="7">
        <v>104.99516</v>
      </c>
      <c r="H45" s="3" t="s">
        <v>3</v>
      </c>
      <c r="I45" s="6">
        <v>1.5652000000000001E-3</v>
      </c>
      <c r="J45" s="6">
        <v>0.1115992</v>
      </c>
      <c r="K45" s="6">
        <v>1.7988900000000001</v>
      </c>
      <c r="L45" s="7">
        <v>7.6885500000000002</v>
      </c>
    </row>
    <row r="46" spans="2:12" x14ac:dyDescent="0.45">
      <c r="B46" s="3" t="s">
        <v>4</v>
      </c>
      <c r="C46" s="6">
        <v>1.1596E-3</v>
      </c>
      <c r="D46" s="6">
        <v>1.28487</v>
      </c>
      <c r="E46" s="6">
        <v>23.813780000000001</v>
      </c>
      <c r="F46" s="7">
        <v>104.95908</v>
      </c>
      <c r="H46" s="3" t="s">
        <v>4</v>
      </c>
      <c r="I46" s="6">
        <v>2.1611999999999998E-3</v>
      </c>
      <c r="J46" s="6">
        <v>9.0565199999999998E-2</v>
      </c>
      <c r="K46" s="6">
        <v>1.7832399999999999</v>
      </c>
      <c r="L46" s="7">
        <v>7.7123600000000003</v>
      </c>
    </row>
    <row r="47" spans="2:12" x14ac:dyDescent="0.45">
      <c r="B47" s="3" t="s">
        <v>5</v>
      </c>
      <c r="C47" s="8">
        <f>AVERAGE(C42:C46)</f>
        <v>1.0983200000000001E-3</v>
      </c>
      <c r="D47" s="8">
        <f>AVERAGE(D42:D46)</f>
        <v>1.2946499999999999</v>
      </c>
      <c r="E47" s="8">
        <f t="shared" ref="E47:F47" si="13">AVERAGE(E42:E46)</f>
        <v>23.764584000000003</v>
      </c>
      <c r="F47" s="9">
        <f t="shared" si="13"/>
        <v>105.013834</v>
      </c>
      <c r="H47" s="3" t="s">
        <v>5</v>
      </c>
      <c r="I47" s="8">
        <f>AVERAGE(I42:I46)</f>
        <v>1.8268400000000001E-3</v>
      </c>
      <c r="J47" s="8">
        <f>AVERAGE(J42:J46)</f>
        <v>0.10385747999999999</v>
      </c>
      <c r="K47" s="8">
        <f t="shared" ref="K47" si="14">AVERAGE(K42:K46)</f>
        <v>1.7828459999999999</v>
      </c>
      <c r="L47" s="9">
        <f>AVERAGE(L42:L46)</f>
        <v>7.7036699999999998</v>
      </c>
    </row>
    <row r="48" spans="2:12" ht="17.5" thickBot="1" x14ac:dyDescent="0.5">
      <c r="B48" s="5" t="s">
        <v>11</v>
      </c>
      <c r="C48" s="10">
        <f>$C$8/C47</f>
        <v>3.9504880180639517</v>
      </c>
      <c r="D48" s="10">
        <f>$D$8/D47</f>
        <v>14.459599119453134</v>
      </c>
      <c r="E48" s="10">
        <f>$E$8/E47</f>
        <v>15.17588525850063</v>
      </c>
      <c r="F48" s="10">
        <f>$F$8/F47</f>
        <v>15.598744828229012</v>
      </c>
      <c r="H48" s="5" t="s">
        <v>11</v>
      </c>
      <c r="I48" s="10">
        <f>$C$8/I47</f>
        <v>2.3750848459635212</v>
      </c>
      <c r="J48" s="10">
        <f>$D$8/J47</f>
        <v>180.24816315589402</v>
      </c>
      <c r="K48" s="10">
        <f>$E$8/K47</f>
        <v>202.28813930087063</v>
      </c>
      <c r="L48" s="10">
        <f>$F$8/L47</f>
        <v>212.63683413230319</v>
      </c>
    </row>
  </sheetData>
  <mergeCells count="11">
    <mergeCell ref="B30:F30"/>
    <mergeCell ref="B40:F40"/>
    <mergeCell ref="H10:L10"/>
    <mergeCell ref="H20:L20"/>
    <mergeCell ref="H30:L30"/>
    <mergeCell ref="H40:L40"/>
    <mergeCell ref="N10:R10"/>
    <mergeCell ref="N20:R20"/>
    <mergeCell ref="B1:F1"/>
    <mergeCell ref="B10:F10"/>
    <mergeCell ref="B20:F2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</vt:lpstr>
      <vt:lpstr>S</vt:lpstr>
      <vt:lpstr>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세훈 박</dc:creator>
  <cp:lastModifiedBy>세훈 박</cp:lastModifiedBy>
  <dcterms:created xsi:type="dcterms:W3CDTF">2025-11-15T08:32:30Z</dcterms:created>
  <dcterms:modified xsi:type="dcterms:W3CDTF">2025-11-16T15:09:07Z</dcterms:modified>
</cp:coreProperties>
</file>